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rcy_Student/Desktop/marcy/DA2025_Lectures_Kevin/Mod1/"/>
    </mc:Choice>
  </mc:AlternateContent>
  <xr:revisionPtr revIDLastSave="0" documentId="8_{ECDCC63F-4197-AF43-8B86-08AD0DC48307}" xr6:coauthVersionLast="47" xr6:coauthVersionMax="47" xr10:uidLastSave="{00000000-0000-0000-0000-000000000000}"/>
  <bookViews>
    <workbookView xWindow="4440" yWindow="760" windowWidth="24960" windowHeight="18360" activeTab="2" xr2:uid="{00000000-000D-0000-FFFF-FFFF00000000}"/>
  </bookViews>
  <sheets>
    <sheet name="CodeAlong_Questions" sheetId="1" r:id="rId1"/>
    <sheet name="SalesRepData(CodeAlong)" sheetId="3" r:id="rId2"/>
    <sheet name="DataChallenge9_Questions" sheetId="2" r:id="rId3"/>
    <sheet name="SalesRepData(DataChallenge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YtAMOT5bRONm/Aqx8HvkCBqqhaXBC6n+A/UbIBbkRY="/>
    </ext>
  </extLst>
</workbook>
</file>

<file path=xl/calcChain.xml><?xml version="1.0" encoding="utf-8"?>
<calcChain xmlns="http://schemas.openxmlformats.org/spreadsheetml/2006/main">
  <c r="G3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2" i="4"/>
  <c r="A5" i="3"/>
  <c r="A16" i="3"/>
  <c r="A30" i="3"/>
  <c r="A46" i="3"/>
  <c r="A39" i="3"/>
  <c r="A38" i="3"/>
  <c r="F38" i="3"/>
  <c r="B52" i="3"/>
</calcChain>
</file>

<file path=xl/sharedStrings.xml><?xml version="1.0" encoding="utf-8"?>
<sst xmlns="http://schemas.openxmlformats.org/spreadsheetml/2006/main" count="280" uniqueCount="210">
  <si>
    <t xml:space="preserve">Module 1 Lecture 9 Code Along Questions </t>
  </si>
  <si>
    <t xml:space="preserve">1.  Use a formula to turn the name column into all uppercase. </t>
  </si>
  <si>
    <t>2.  Extract the username from the email address.  Hint:  Every email ends with @email.com</t>
  </si>
  <si>
    <t>3. Check for duplicate names -- should these records be deleted? Why or Why Not?</t>
  </si>
  <si>
    <t xml:space="preserve">Module 1 Lecture 9 Data Challenge Questions </t>
  </si>
  <si>
    <t xml:space="preserve">*These questions will use the original data before you did your code along -- feel free to make a copy of the original data in another tab </t>
  </si>
  <si>
    <t>ANSWERS</t>
  </si>
  <si>
    <t xml:space="preserve">1.  Replace any space in Name to be an underscore (_).  Copy the formula you used as your answer (you can paste it without the equal to sign or type it in).  Hint:  Research the SUBSTITUTE function. </t>
  </si>
  <si>
    <r>
      <rPr>
        <sz val="11"/>
        <color rgb="FF000000"/>
        <rFont val="Aptos Narrow"/>
      </rPr>
      <t xml:space="preserve">2.  Extract the @email.com from each email address (I want an entire column that is </t>
    </r>
    <r>
      <rPr>
        <b/>
        <sz val="11"/>
        <color rgb="FF000000"/>
        <rFont val="Aptos Narrow"/>
      </rPr>
      <t>email.com</t>
    </r>
    <r>
      <rPr>
        <sz val="11"/>
        <color rgb="FF000000"/>
        <rFont val="Aptos Narrow"/>
      </rPr>
      <t xml:space="preserve">).  Highlight the column as your answer and type in the function you used without the equal sign.  Hint:  use the TEXTAFTER function OR the RIGHT function -- the RIGHT function may be more complex but give it a try! </t>
    </r>
  </si>
  <si>
    <r>
      <rPr>
        <sz val="11"/>
        <color rgb="FF000000"/>
        <rFont val="Aptos Narrow"/>
      </rPr>
      <t xml:space="preserve">3.  Get an average amount of sales across the entire dataset.  Multiple step process you have to handle the missing data first (replace those with 0 </t>
    </r>
    <r>
      <rPr>
        <b/>
        <sz val="11"/>
        <color rgb="FF000000"/>
        <rFont val="Aptos Narrow"/>
      </rPr>
      <t>using a formula</t>
    </r>
    <r>
      <rPr>
        <sz val="11"/>
        <color rgb="FF000000"/>
        <rFont val="Aptos Narrow"/>
      </rPr>
      <t>).  Type the average as your answer.</t>
    </r>
  </si>
  <si>
    <t>Name</t>
  </si>
  <si>
    <t>Email</t>
  </si>
  <si>
    <t>Join_Date</t>
  </si>
  <si>
    <t>Q1_Sales</t>
  </si>
  <si>
    <t>aarav.patel@email.com</t>
  </si>
  <si>
    <t>anika.sharma@email.com</t>
  </si>
  <si>
    <t>arjun.gupta@email.com</t>
  </si>
  <si>
    <t>diya.mehta@email.com</t>
  </si>
  <si>
    <t>rohan.verma@email.com</t>
  </si>
  <si>
    <t>siya.singh@email.com</t>
  </si>
  <si>
    <t>vivaan.kapoor@email.com</t>
  </si>
  <si>
    <t>.</t>
  </si>
  <si>
    <t>ishaan.choudhury@email.com</t>
  </si>
  <si>
    <t>aira.malhotra@email.com</t>
  </si>
  <si>
    <t>reyansh.tandon@email.com</t>
  </si>
  <si>
    <t>pari.sharma@email.com</t>
  </si>
  <si>
    <t>advait.mehra@email.com</t>
  </si>
  <si>
    <t>anaya.verma@email.com</t>
  </si>
  <si>
    <t>kabir.kapoor@email.com</t>
  </si>
  <si>
    <t>kiana.singh@email.com</t>
  </si>
  <si>
    <t>devansh.patel@email.com</t>
  </si>
  <si>
    <t>shanaya.choudhury@email.com</t>
  </si>
  <si>
    <t>ritik.tandon@email.com</t>
  </si>
  <si>
    <t>aira.sharma@email.com</t>
  </si>
  <si>
    <t>prisha.mehra@email.com</t>
  </si>
  <si>
    <t>vihaan.verma@email.com</t>
  </si>
  <si>
    <t>aanya.kapoor@email.com</t>
  </si>
  <si>
    <t>dhruv.singh@email.com</t>
  </si>
  <si>
    <t>myra.patel@email.com</t>
  </si>
  <si>
    <t>aarav.choudhury@email.com</t>
  </si>
  <si>
    <t>saanvi.tandon@email.com</t>
  </si>
  <si>
    <t>arnav.sharma@email.com</t>
  </si>
  <si>
    <t>kyra.mehra@email.com</t>
  </si>
  <si>
    <t>ishaan.verma@email.com</t>
  </si>
  <si>
    <t>aira.kapoor@email.com</t>
  </si>
  <si>
    <t>rohan.singh@email.com</t>
  </si>
  <si>
    <t>siya.patel@email.com</t>
  </si>
  <si>
    <t>vivaan.choudhury@email.com</t>
  </si>
  <si>
    <t>anika.tandon@email.com</t>
  </si>
  <si>
    <t>arjun.sharma@email.com</t>
  </si>
  <si>
    <t>diya.mehra@email.com</t>
  </si>
  <si>
    <t>ritik.verma@email.com</t>
  </si>
  <si>
    <t>shanaya.kapoor@email.com</t>
  </si>
  <si>
    <t>devansh.singh@email.com</t>
  </si>
  <si>
    <t>kiana.patel@email.com</t>
  </si>
  <si>
    <t>kabir.choudhury@email.com</t>
  </si>
  <si>
    <t>anaya.tandon@email.com</t>
  </si>
  <si>
    <t>myra.tandon@email.com</t>
  </si>
  <si>
    <t>advait.sharma@email.com</t>
  </si>
  <si>
    <t>pari.mehra@email.com</t>
  </si>
  <si>
    <t>aanya.verma@email.com</t>
  </si>
  <si>
    <t>vihaan.kapoor@email.com</t>
  </si>
  <si>
    <t>prisha.singh@email.com</t>
  </si>
  <si>
    <t>aira.patel@email.com</t>
  </si>
  <si>
    <t>reyansh.choudhury@email.com</t>
  </si>
  <si>
    <t>AARAV PATEL</t>
  </si>
  <si>
    <t>ANIKA SHARMA</t>
  </si>
  <si>
    <t>ARJUN GUPTA</t>
  </si>
  <si>
    <t/>
  </si>
  <si>
    <t>ROHAN VERMA</t>
  </si>
  <si>
    <t>SIYA SINGH</t>
  </si>
  <si>
    <t>VIVAAN KAPOOR</t>
  </si>
  <si>
    <t>ISHAAN CHOUDHURY</t>
  </si>
  <si>
    <t>AIRA MALHOTRA</t>
  </si>
  <si>
    <t>REYANSH TANDON</t>
  </si>
  <si>
    <t>PARI SHARMA</t>
  </si>
  <si>
    <t>ADVAIT MEHRA</t>
  </si>
  <si>
    <t>ANAYA VERMA</t>
  </si>
  <si>
    <t>KABIR KAPOOR</t>
  </si>
  <si>
    <t>DEVANSH PATEL</t>
  </si>
  <si>
    <t>SHANAYA CHOUDHURY</t>
  </si>
  <si>
    <t>RITIK TANDON</t>
  </si>
  <si>
    <t>AIRA SHARMA</t>
  </si>
  <si>
    <t>PRISHA MEHRA</t>
  </si>
  <si>
    <t>VIHAAN VERMA</t>
  </si>
  <si>
    <t>AANYA KAPOOR</t>
  </si>
  <si>
    <t>DHRUV SINGH</t>
  </si>
  <si>
    <t>MYRA PATEL</t>
  </si>
  <si>
    <t>AARAV CHOUDHURY</t>
  </si>
  <si>
    <t>SAANVI TANDON</t>
  </si>
  <si>
    <t>ARNAV SHARMA</t>
  </si>
  <si>
    <t>KYRA MEHRA</t>
  </si>
  <si>
    <t>AIRA KAPOOR</t>
  </si>
  <si>
    <t>ROHAN SINGH</t>
  </si>
  <si>
    <t>SIYA PATEL</t>
  </si>
  <si>
    <t>VIVAAN CHOUDHURY</t>
  </si>
  <si>
    <t>ANIKA TANDON</t>
  </si>
  <si>
    <t>ARJUN SHARMA</t>
  </si>
  <si>
    <t>DIYA MEHRA</t>
  </si>
  <si>
    <t>DEVANSH SINGH</t>
  </si>
  <si>
    <t>KIANA PATEL</t>
  </si>
  <si>
    <t>KABIR CHOUDHURY</t>
  </si>
  <si>
    <t>ANAYA TANDON</t>
  </si>
  <si>
    <t>MYRA TANDON</t>
  </si>
  <si>
    <t>ADVAIT SHARMA</t>
  </si>
  <si>
    <t>AANYA VERMA</t>
  </si>
  <si>
    <t>VIHAAN KAPOOR</t>
  </si>
  <si>
    <t>PRISHA SINGH</t>
  </si>
  <si>
    <t>AIRA PATEL</t>
  </si>
  <si>
    <t>REYANSH CHOUDHURY</t>
  </si>
  <si>
    <t>User Name</t>
  </si>
  <si>
    <t>aarav.patel</t>
  </si>
  <si>
    <t>anika.sharma</t>
  </si>
  <si>
    <t>arjun.gupta</t>
  </si>
  <si>
    <t>diya.mehta</t>
  </si>
  <si>
    <t>rohan.verma</t>
  </si>
  <si>
    <t>siya.singh</t>
  </si>
  <si>
    <t>vivaan.kapoor</t>
  </si>
  <si>
    <t>ishaan.choudhury</t>
  </si>
  <si>
    <t>aira.malhotra</t>
  </si>
  <si>
    <t>reyansh.tandon</t>
  </si>
  <si>
    <t>pari.sharma</t>
  </si>
  <si>
    <t>advait.mehra</t>
  </si>
  <si>
    <t>anaya.verma</t>
  </si>
  <si>
    <t>kabir.kapoor</t>
  </si>
  <si>
    <t>kiana.singh</t>
  </si>
  <si>
    <t>devansh.patel</t>
  </si>
  <si>
    <t>shanaya.choudhury</t>
  </si>
  <si>
    <t>ritik.tandon</t>
  </si>
  <si>
    <t>aira.sharma</t>
  </si>
  <si>
    <t>prisha.mehra</t>
  </si>
  <si>
    <t>vihaan.verma</t>
  </si>
  <si>
    <t>aanya.kapoor</t>
  </si>
  <si>
    <t>dhruv.singh</t>
  </si>
  <si>
    <t>myra.patel</t>
  </si>
  <si>
    <t>aarav.choudhury</t>
  </si>
  <si>
    <t>saanvi.tandon</t>
  </si>
  <si>
    <t>arnav.sharma</t>
  </si>
  <si>
    <t>kyra.mehra</t>
  </si>
  <si>
    <t>ishaan.verma</t>
  </si>
  <si>
    <t>aira.kapoor</t>
  </si>
  <si>
    <t>rohan.singh</t>
  </si>
  <si>
    <t>siya.patel</t>
  </si>
  <si>
    <t>vivaan.choudhury</t>
  </si>
  <si>
    <t>anika.tandon</t>
  </si>
  <si>
    <t>arjun.sharma</t>
  </si>
  <si>
    <t>diya.mehra</t>
  </si>
  <si>
    <t>ritik.verma</t>
  </si>
  <si>
    <t>shanaya.kapoor</t>
  </si>
  <si>
    <t>devansh.singh</t>
  </si>
  <si>
    <t>kiana.patel</t>
  </si>
  <si>
    <t>kabir.choudhury</t>
  </si>
  <si>
    <t>anaya.tandon</t>
  </si>
  <si>
    <t>myra.tandon</t>
  </si>
  <si>
    <t>advait.sharma</t>
  </si>
  <si>
    <t>pari.mehra</t>
  </si>
  <si>
    <t>aanya.verma</t>
  </si>
  <si>
    <t>vihaan.kapoor</t>
  </si>
  <si>
    <t>prisha.singh</t>
  </si>
  <si>
    <t>aira.patel</t>
  </si>
  <si>
    <t>reyansh.choudhury</t>
  </si>
  <si>
    <t>Aarav_Patel</t>
  </si>
  <si>
    <t>Anika_Sharma</t>
  </si>
  <si>
    <t>Arjun_Gupta</t>
  </si>
  <si>
    <t>Rohan_Verma</t>
  </si>
  <si>
    <t>Siya_Singh</t>
  </si>
  <si>
    <t>Vivaan_Kapoor</t>
  </si>
  <si>
    <t>Ishaan_Choudhury</t>
  </si>
  <si>
    <t>aira_Malhotra</t>
  </si>
  <si>
    <t>Reyansh_Tandon</t>
  </si>
  <si>
    <t>Pari_Sharma</t>
  </si>
  <si>
    <t>Advait_Mehra</t>
  </si>
  <si>
    <t>Anaya_Verma</t>
  </si>
  <si>
    <t>Kabir_Kapoor</t>
  </si>
  <si>
    <t>Devansh_Patel</t>
  </si>
  <si>
    <t>Shanaya_Choudhury</t>
  </si>
  <si>
    <t>Ritik_Tandon</t>
  </si>
  <si>
    <t>aira_Sharma</t>
  </si>
  <si>
    <t>Prisha_Mehra</t>
  </si>
  <si>
    <t>Vihaan_Verma</t>
  </si>
  <si>
    <t>Aanya_Kapoor</t>
  </si>
  <si>
    <t>Dhruv_Singh</t>
  </si>
  <si>
    <t>Myra_Patel</t>
  </si>
  <si>
    <t>Aarav_Choudhury</t>
  </si>
  <si>
    <t>Saanvi_Tandon</t>
  </si>
  <si>
    <t>Arnav_Sharma</t>
  </si>
  <si>
    <t>Kyra_Mehra</t>
  </si>
  <si>
    <t>aira_Kapoor</t>
  </si>
  <si>
    <t>Rohan_Singh</t>
  </si>
  <si>
    <t>Siya_Patel</t>
  </si>
  <si>
    <t>Vivaan_Choudhury</t>
  </si>
  <si>
    <t>Anika_Tandon</t>
  </si>
  <si>
    <t>Arjun_Sharma</t>
  </si>
  <si>
    <t>Diya_Mehra</t>
  </si>
  <si>
    <t>Devansh_Singh</t>
  </si>
  <si>
    <t>Kiana_Patel</t>
  </si>
  <si>
    <t>Kabir_Choudhury</t>
  </si>
  <si>
    <t>Anaya_Tandon</t>
  </si>
  <si>
    <t>Myra_Tandon</t>
  </si>
  <si>
    <t>Advait_Sharma</t>
  </si>
  <si>
    <t>Aanya_Verma</t>
  </si>
  <si>
    <t>Vihaan_Kapoor</t>
  </si>
  <si>
    <t>Prisha_Singh</t>
  </si>
  <si>
    <t>Aira_Patel</t>
  </si>
  <si>
    <t>Reyansh_Choudhury</t>
  </si>
  <si>
    <t>SUBSTITUTE(A2," ","_")</t>
  </si>
  <si>
    <t>email.com</t>
  </si>
  <si>
    <t>TEXTAFTER(B2,"@")</t>
  </si>
  <si>
    <t>New Q1 Sale</t>
  </si>
  <si>
    <t>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</si>
</sst>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FF0000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3" borderId="1" xfId="0" applyFont="1" applyFill="1" applyBorder="1" applyAlignment="1">
      <alignment horizontal="center"/>
    </xf>
    <xf numFmtId="14" fontId="2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4" borderId="0" xfId="0" applyFont="1" applyFill="1"/>
    <xf numFmtId="0" fontId="8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zoomScale="159" workbookViewId="0">
      <selection activeCell="B5" sqref="B5"/>
    </sheetView>
  </sheetViews>
  <sheetFormatPr baseColWidth="10" defaultColWidth="12.6640625" defaultRowHeight="15" customHeight="1" x14ac:dyDescent="0.2"/>
  <cols>
    <col min="1" max="1" width="71.6640625" customWidth="1"/>
    <col min="2" max="2" width="91.6640625" customWidth="1"/>
    <col min="3" max="26" width="8.6640625" customWidth="1"/>
  </cols>
  <sheetData>
    <row r="1" spans="1:2" x14ac:dyDescent="0.2">
      <c r="A1" s="1" t="s">
        <v>0</v>
      </c>
    </row>
    <row r="2" spans="1:2" x14ac:dyDescent="0.2">
      <c r="A2" s="2"/>
    </row>
    <row r="3" spans="1:2" ht="16" x14ac:dyDescent="0.2">
      <c r="A3" s="2" t="s">
        <v>1</v>
      </c>
    </row>
    <row r="4" spans="1:2" ht="16" x14ac:dyDescent="0.2">
      <c r="A4" s="2" t="s">
        <v>2</v>
      </c>
      <c r="B4" s="3"/>
    </row>
    <row r="5" spans="1:2" ht="16" x14ac:dyDescent="0.2">
      <c r="A5" s="2" t="s">
        <v>3</v>
      </c>
      <c r="B5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24" zoomScale="139" workbookViewId="0">
      <selection activeCell="A6" sqref="A6"/>
    </sheetView>
  </sheetViews>
  <sheetFormatPr baseColWidth="10" defaultColWidth="12.6640625" defaultRowHeight="15" customHeight="1" x14ac:dyDescent="0.2"/>
  <cols>
    <col min="1" max="1" width="18.6640625" customWidth="1"/>
    <col min="2" max="2" width="25.6640625" bestFit="1" customWidth="1"/>
    <col min="3" max="3" width="16" bestFit="1" customWidth="1"/>
    <col min="4" max="4" width="8.6640625" customWidth="1"/>
    <col min="5" max="5" width="9" customWidth="1"/>
    <col min="6" max="6" width="21.6640625" customWidth="1"/>
    <col min="7" max="7" width="12" customWidth="1"/>
    <col min="8" max="8" width="8.6640625" customWidth="1"/>
    <col min="9" max="9" width="13.6640625" customWidth="1"/>
    <col min="10" max="10" width="36.6640625" customWidth="1"/>
    <col min="11" max="24" width="8.6640625" customWidth="1"/>
  </cols>
  <sheetData>
    <row r="1" spans="1:10" x14ac:dyDescent="0.2">
      <c r="A1" s="11" t="s">
        <v>10</v>
      </c>
      <c r="B1" s="11" t="s">
        <v>11</v>
      </c>
      <c r="C1" s="11" t="s">
        <v>110</v>
      </c>
      <c r="D1" s="11" t="s">
        <v>12</v>
      </c>
      <c r="E1" s="11" t="s">
        <v>13</v>
      </c>
      <c r="F1" s="10"/>
      <c r="G1" s="10"/>
      <c r="H1" s="10"/>
      <c r="I1" s="10"/>
      <c r="J1" s="10"/>
    </row>
    <row r="2" spans="1:10" x14ac:dyDescent="0.2">
      <c r="A2" s="9" t="s">
        <v>65</v>
      </c>
      <c r="B2" s="9" t="s">
        <v>14</v>
      </c>
      <c r="C2" s="9" t="s">
        <v>111</v>
      </c>
      <c r="D2" s="9">
        <v>44101</v>
      </c>
      <c r="E2" s="9">
        <v>100</v>
      </c>
      <c r="F2" s="10"/>
      <c r="G2" s="6"/>
      <c r="H2" s="10"/>
      <c r="I2" s="10"/>
      <c r="J2" s="2"/>
    </row>
    <row r="3" spans="1:10" x14ac:dyDescent="0.2">
      <c r="A3" s="9" t="s">
        <v>66</v>
      </c>
      <c r="B3" s="9" t="s">
        <v>15</v>
      </c>
      <c r="C3" s="9" t="s">
        <v>112</v>
      </c>
      <c r="D3" s="9">
        <v>44116</v>
      </c>
      <c r="E3" s="9">
        <v>200.5</v>
      </c>
      <c r="F3" s="10"/>
      <c r="G3" s="6"/>
      <c r="H3" s="10"/>
      <c r="I3" s="10"/>
      <c r="J3" s="2"/>
    </row>
    <row r="4" spans="1:10" x14ac:dyDescent="0.2">
      <c r="A4" s="9" t="s">
        <v>67</v>
      </c>
      <c r="B4" s="9" t="s">
        <v>16</v>
      </c>
      <c r="C4" s="9" t="s">
        <v>113</v>
      </c>
      <c r="D4" s="9">
        <v>44131</v>
      </c>
      <c r="E4" s="9">
        <v>150</v>
      </c>
      <c r="F4" s="10"/>
      <c r="G4" s="6"/>
      <c r="H4" s="10"/>
      <c r="I4" s="10"/>
      <c r="J4" s="2"/>
    </row>
    <row r="5" spans="1:10" x14ac:dyDescent="0.2">
      <c r="A5" s="6" t="str">
        <f>UPPER(_xlfn.CONCAT(LEFT(C5,(FIND(".",C5)-1))," ",RIGHT(C5,FIND(".",C5)-1)))</f>
        <v>DIYA EHTA</v>
      </c>
      <c r="B5" s="9" t="s">
        <v>17</v>
      </c>
      <c r="C5" s="9" t="s">
        <v>114</v>
      </c>
      <c r="D5" s="9">
        <v>44146</v>
      </c>
      <c r="E5" s="9">
        <v>300</v>
      </c>
      <c r="F5" s="10"/>
      <c r="G5" s="6"/>
      <c r="H5" s="10"/>
      <c r="I5" s="10"/>
      <c r="J5" s="2"/>
    </row>
    <row r="6" spans="1:10" x14ac:dyDescent="0.2">
      <c r="A6" s="9" t="s">
        <v>69</v>
      </c>
      <c r="B6" s="9" t="s">
        <v>18</v>
      </c>
      <c r="C6" s="9" t="s">
        <v>115</v>
      </c>
      <c r="D6" s="9">
        <v>44151</v>
      </c>
      <c r="E6" s="9">
        <v>250</v>
      </c>
      <c r="F6" s="10"/>
      <c r="G6" s="6"/>
      <c r="H6" s="10"/>
      <c r="I6" s="10"/>
      <c r="J6" s="2"/>
    </row>
    <row r="7" spans="1:10" x14ac:dyDescent="0.2">
      <c r="A7" s="9" t="s">
        <v>70</v>
      </c>
      <c r="B7" s="9" t="s">
        <v>19</v>
      </c>
      <c r="C7" s="9" t="s">
        <v>116</v>
      </c>
      <c r="D7" s="9">
        <v>44166</v>
      </c>
      <c r="E7" s="9">
        <v>180</v>
      </c>
      <c r="F7" s="10"/>
      <c r="G7" s="6"/>
      <c r="H7" s="10"/>
      <c r="I7" s="10"/>
      <c r="J7" s="2"/>
    </row>
    <row r="8" spans="1:10" x14ac:dyDescent="0.2">
      <c r="A8" s="9" t="s">
        <v>71</v>
      </c>
      <c r="B8" s="9" t="s">
        <v>20</v>
      </c>
      <c r="C8" s="9" t="s">
        <v>117</v>
      </c>
      <c r="D8" s="9">
        <v>44181</v>
      </c>
      <c r="E8" s="9" t="s">
        <v>21</v>
      </c>
      <c r="F8" s="10"/>
      <c r="G8" s="6"/>
      <c r="H8" s="10"/>
      <c r="I8" s="10"/>
      <c r="J8" s="2"/>
    </row>
    <row r="9" spans="1:10" x14ac:dyDescent="0.2">
      <c r="A9" s="9" t="s">
        <v>72</v>
      </c>
      <c r="B9" s="9" t="s">
        <v>22</v>
      </c>
      <c r="C9" s="9" t="s">
        <v>118</v>
      </c>
      <c r="D9" s="9">
        <v>44196</v>
      </c>
      <c r="E9" s="9">
        <v>190</v>
      </c>
      <c r="F9" s="10"/>
      <c r="G9" s="6"/>
      <c r="H9" s="10"/>
      <c r="I9" s="10"/>
      <c r="J9" s="2"/>
    </row>
    <row r="10" spans="1:10" x14ac:dyDescent="0.2">
      <c r="A10" s="9" t="s">
        <v>73</v>
      </c>
      <c r="B10" s="9" t="s">
        <v>23</v>
      </c>
      <c r="C10" s="9" t="s">
        <v>119</v>
      </c>
      <c r="D10" s="9">
        <v>44211</v>
      </c>
      <c r="E10" s="9">
        <v>320</v>
      </c>
      <c r="F10" s="10"/>
      <c r="G10" s="6"/>
      <c r="H10" s="10"/>
      <c r="I10" s="10"/>
      <c r="J10" s="2"/>
    </row>
    <row r="11" spans="1:10" x14ac:dyDescent="0.2">
      <c r="A11" s="9" t="s">
        <v>74</v>
      </c>
      <c r="B11" s="9" t="s">
        <v>24</v>
      </c>
      <c r="C11" s="9" t="s">
        <v>120</v>
      </c>
      <c r="D11" s="9">
        <v>44226</v>
      </c>
      <c r="E11" s="9">
        <v>270</v>
      </c>
      <c r="F11" s="10"/>
      <c r="G11" s="6"/>
      <c r="H11" s="10"/>
      <c r="I11" s="10"/>
      <c r="J11" s="2"/>
    </row>
    <row r="12" spans="1:10" x14ac:dyDescent="0.2">
      <c r="A12" s="9" t="s">
        <v>75</v>
      </c>
      <c r="B12" s="9" t="s">
        <v>25</v>
      </c>
      <c r="C12" s="9" t="s">
        <v>121</v>
      </c>
      <c r="D12" s="9">
        <v>44241</v>
      </c>
      <c r="E12" s="9">
        <v>210</v>
      </c>
      <c r="F12" s="10"/>
      <c r="G12" s="6"/>
      <c r="H12" s="10"/>
      <c r="I12" s="10"/>
      <c r="J12" s="2"/>
    </row>
    <row r="13" spans="1:10" x14ac:dyDescent="0.2">
      <c r="A13" s="9" t="s">
        <v>76</v>
      </c>
      <c r="B13" s="9" t="s">
        <v>26</v>
      </c>
      <c r="C13" s="9" t="s">
        <v>122</v>
      </c>
      <c r="D13" s="9">
        <v>44256</v>
      </c>
      <c r="E13" s="9">
        <v>240</v>
      </c>
      <c r="F13" s="10"/>
      <c r="G13" s="6"/>
      <c r="H13" s="10"/>
      <c r="I13" s="10"/>
      <c r="J13" s="2"/>
    </row>
    <row r="14" spans="1:10" x14ac:dyDescent="0.2">
      <c r="A14" s="9" t="s">
        <v>77</v>
      </c>
      <c r="B14" s="9" t="s">
        <v>27</v>
      </c>
      <c r="C14" s="9" t="s">
        <v>123</v>
      </c>
      <c r="D14" s="9">
        <v>44271</v>
      </c>
      <c r="E14" s="9">
        <v>200</v>
      </c>
      <c r="F14" s="10"/>
      <c r="G14" s="6"/>
      <c r="H14" s="10"/>
      <c r="I14" s="10"/>
      <c r="J14" s="2"/>
    </row>
    <row r="15" spans="1:10" x14ac:dyDescent="0.2">
      <c r="A15" s="9" t="s">
        <v>78</v>
      </c>
      <c r="B15" s="9" t="s">
        <v>28</v>
      </c>
      <c r="C15" s="9" t="s">
        <v>124</v>
      </c>
      <c r="D15" s="9">
        <v>44286</v>
      </c>
      <c r="E15" s="9">
        <v>340</v>
      </c>
      <c r="F15" s="10"/>
      <c r="G15" s="6"/>
      <c r="H15" s="10"/>
      <c r="I15" s="10"/>
      <c r="J15" s="2"/>
    </row>
    <row r="16" spans="1:10" x14ac:dyDescent="0.2">
      <c r="A16" t="str">
        <f>UPPER(_xlfn.CONCAT(LEFT(C16,(FIND(".",C16)-1))," ",RIGHT(C16,FIND(".",C16)-1)))</f>
        <v>KIANA SINGH</v>
      </c>
      <c r="B16" s="9" t="s">
        <v>29</v>
      </c>
      <c r="C16" s="9" t="s">
        <v>125</v>
      </c>
      <c r="D16" s="9">
        <v>44301</v>
      </c>
      <c r="E16" s="9">
        <v>290</v>
      </c>
      <c r="F16" s="10"/>
      <c r="G16" s="6"/>
      <c r="H16" s="10"/>
      <c r="I16" s="10"/>
      <c r="J16" s="2"/>
    </row>
    <row r="17" spans="1:10" x14ac:dyDescent="0.2">
      <c r="A17" s="9" t="s">
        <v>79</v>
      </c>
      <c r="B17" s="9" t="s">
        <v>30</v>
      </c>
      <c r="C17" s="9" t="s">
        <v>126</v>
      </c>
      <c r="D17" s="9">
        <v>44316</v>
      </c>
      <c r="E17" s="9">
        <v>230</v>
      </c>
      <c r="F17" s="10"/>
      <c r="G17" s="6"/>
      <c r="H17" s="10"/>
      <c r="I17" s="10"/>
      <c r="J17" s="2"/>
    </row>
    <row r="18" spans="1:10" x14ac:dyDescent="0.2">
      <c r="A18" s="9" t="s">
        <v>80</v>
      </c>
      <c r="B18" s="9" t="s">
        <v>31</v>
      </c>
      <c r="C18" s="9" t="s">
        <v>127</v>
      </c>
      <c r="D18" s="9">
        <v>44331</v>
      </c>
      <c r="E18" s="9">
        <v>260</v>
      </c>
      <c r="F18" s="10"/>
      <c r="G18" s="6"/>
      <c r="H18" s="10"/>
      <c r="I18" s="10"/>
      <c r="J18" s="2"/>
    </row>
    <row r="19" spans="1:10" x14ac:dyDescent="0.2">
      <c r="A19" s="9" t="s">
        <v>81</v>
      </c>
      <c r="B19" s="9" t="s">
        <v>32</v>
      </c>
      <c r="C19" s="9" t="s">
        <v>128</v>
      </c>
      <c r="D19" s="9">
        <v>44346</v>
      </c>
      <c r="E19" s="9">
        <v>220</v>
      </c>
      <c r="F19" s="10"/>
      <c r="G19" s="6"/>
      <c r="H19" s="10"/>
      <c r="I19" s="10"/>
      <c r="J19" s="2"/>
    </row>
    <row r="20" spans="1:10" x14ac:dyDescent="0.2">
      <c r="A20" s="9" t="s">
        <v>82</v>
      </c>
      <c r="B20" s="9" t="s">
        <v>33</v>
      </c>
      <c r="C20" s="9" t="s">
        <v>129</v>
      </c>
      <c r="D20" s="9">
        <v>44361</v>
      </c>
      <c r="E20" s="9">
        <v>360</v>
      </c>
      <c r="F20" s="10"/>
      <c r="G20" s="6"/>
      <c r="H20" s="10"/>
      <c r="I20" s="10"/>
      <c r="J20" s="2"/>
    </row>
    <row r="21" spans="1:10" ht="15.75" customHeight="1" x14ac:dyDescent="0.2">
      <c r="A21" s="9" t="s">
        <v>83</v>
      </c>
      <c r="B21" s="9" t="s">
        <v>34</v>
      </c>
      <c r="C21" s="9" t="s">
        <v>130</v>
      </c>
      <c r="D21" s="9">
        <v>44376</v>
      </c>
      <c r="E21" s="9">
        <v>310</v>
      </c>
      <c r="F21" s="10"/>
      <c r="G21" s="6"/>
      <c r="H21" s="10"/>
      <c r="I21" s="10"/>
      <c r="J21" s="2"/>
    </row>
    <row r="22" spans="1:10" ht="15.75" customHeight="1" x14ac:dyDescent="0.2">
      <c r="A22" s="9" t="s">
        <v>84</v>
      </c>
      <c r="B22" s="9" t="s">
        <v>35</v>
      </c>
      <c r="C22" s="9" t="s">
        <v>131</v>
      </c>
      <c r="D22" s="9">
        <v>44391</v>
      </c>
      <c r="E22" s="9">
        <v>250</v>
      </c>
      <c r="F22" s="10"/>
      <c r="G22" s="6"/>
      <c r="H22" s="10"/>
      <c r="I22" s="10"/>
      <c r="J22" s="2"/>
    </row>
    <row r="23" spans="1:10" ht="15.75" customHeight="1" x14ac:dyDescent="0.2">
      <c r="A23" s="9" t="s">
        <v>85</v>
      </c>
      <c r="B23" s="9" t="s">
        <v>36</v>
      </c>
      <c r="C23" s="9" t="s">
        <v>132</v>
      </c>
      <c r="D23" s="9">
        <v>44406</v>
      </c>
      <c r="E23" s="9">
        <v>280</v>
      </c>
      <c r="F23" s="10"/>
      <c r="G23" s="6"/>
      <c r="H23" s="10"/>
      <c r="I23" s="10"/>
      <c r="J23" s="2"/>
    </row>
    <row r="24" spans="1:10" ht="15.75" customHeight="1" x14ac:dyDescent="0.2">
      <c r="A24" s="9" t="s">
        <v>86</v>
      </c>
      <c r="B24" s="9" t="s">
        <v>37</v>
      </c>
      <c r="C24" s="9" t="s">
        <v>133</v>
      </c>
      <c r="D24" s="9">
        <v>44421</v>
      </c>
      <c r="E24" s="9">
        <v>240</v>
      </c>
      <c r="F24" s="10"/>
      <c r="G24" s="6"/>
      <c r="H24" s="10"/>
      <c r="I24" s="10"/>
      <c r="J24" s="2"/>
    </row>
    <row r="25" spans="1:10" ht="15.75" customHeight="1" x14ac:dyDescent="0.2">
      <c r="A25" s="9" t="s">
        <v>87</v>
      </c>
      <c r="B25" s="9" t="s">
        <v>38</v>
      </c>
      <c r="C25" s="9" t="s">
        <v>134</v>
      </c>
      <c r="D25" s="9">
        <v>44436</v>
      </c>
      <c r="E25" s="9">
        <v>380</v>
      </c>
      <c r="F25" s="10"/>
      <c r="G25" s="6"/>
      <c r="H25" s="10"/>
      <c r="I25" s="10"/>
      <c r="J25" s="2"/>
    </row>
    <row r="26" spans="1:10" ht="15.75" customHeight="1" x14ac:dyDescent="0.2">
      <c r="A26" s="9" t="s">
        <v>88</v>
      </c>
      <c r="B26" s="9" t="s">
        <v>39</v>
      </c>
      <c r="C26" s="9" t="s">
        <v>135</v>
      </c>
      <c r="D26" s="9">
        <v>44451</v>
      </c>
      <c r="E26" s="9">
        <v>330</v>
      </c>
      <c r="F26" s="10"/>
      <c r="G26" s="6"/>
      <c r="H26" s="10"/>
      <c r="I26" s="10"/>
      <c r="J26" s="2"/>
    </row>
    <row r="27" spans="1:10" ht="15.75" customHeight="1" x14ac:dyDescent="0.2">
      <c r="A27" s="9" t="s">
        <v>89</v>
      </c>
      <c r="B27" s="9" t="s">
        <v>40</v>
      </c>
      <c r="C27" s="9" t="s">
        <v>136</v>
      </c>
      <c r="D27" s="9">
        <v>44466</v>
      </c>
      <c r="E27" s="9">
        <v>270</v>
      </c>
      <c r="F27" s="10"/>
      <c r="G27" s="6"/>
      <c r="H27" s="10"/>
      <c r="I27" s="10"/>
      <c r="J27" s="2"/>
    </row>
    <row r="28" spans="1:10" ht="15.75" customHeight="1" x14ac:dyDescent="0.2">
      <c r="A28" s="9" t="s">
        <v>90</v>
      </c>
      <c r="B28" s="9" t="s">
        <v>41</v>
      </c>
      <c r="C28" s="9" t="s">
        <v>137</v>
      </c>
      <c r="D28" s="9">
        <v>44481</v>
      </c>
      <c r="E28" s="9">
        <v>300</v>
      </c>
      <c r="F28" s="10"/>
      <c r="G28" s="6"/>
      <c r="H28" s="10"/>
      <c r="I28" s="10"/>
      <c r="J28" s="2"/>
    </row>
    <row r="29" spans="1:10" ht="15.75" customHeight="1" x14ac:dyDescent="0.2">
      <c r="A29" s="9" t="s">
        <v>91</v>
      </c>
      <c r="B29" s="9" t="s">
        <v>42</v>
      </c>
      <c r="C29" s="9" t="s">
        <v>138</v>
      </c>
      <c r="D29" s="9">
        <v>44496</v>
      </c>
      <c r="E29" s="9">
        <v>260</v>
      </c>
      <c r="F29" s="10"/>
      <c r="G29" s="6"/>
      <c r="H29" s="10"/>
      <c r="I29" s="10"/>
      <c r="J29" s="2"/>
    </row>
    <row r="30" spans="1:10" ht="15.75" customHeight="1" x14ac:dyDescent="0.2">
      <c r="A30" t="str">
        <f>UPPER(_xlfn.CONCAT(LEFT(C30,(FIND(".",C30)-1))," ",RIGHT(C30,FIND(".",C30)-2)))</f>
        <v>ISHAAN VERMA</v>
      </c>
      <c r="B30" s="9" t="s">
        <v>43</v>
      </c>
      <c r="C30" s="9" t="s">
        <v>139</v>
      </c>
      <c r="D30" s="9">
        <v>44511</v>
      </c>
      <c r="E30" s="9">
        <v>400</v>
      </c>
      <c r="F30" s="10"/>
      <c r="G30" s="6"/>
      <c r="H30" s="10"/>
      <c r="I30" s="10"/>
      <c r="J30" s="2"/>
    </row>
    <row r="31" spans="1:10" ht="15.75" customHeight="1" x14ac:dyDescent="0.2">
      <c r="A31" s="9" t="s">
        <v>92</v>
      </c>
      <c r="B31" s="9" t="s">
        <v>44</v>
      </c>
      <c r="C31" s="9" t="s">
        <v>140</v>
      </c>
      <c r="D31" s="9">
        <v>44526</v>
      </c>
      <c r="E31" s="9" t="s">
        <v>21</v>
      </c>
      <c r="F31" s="10"/>
      <c r="G31" s="6"/>
      <c r="H31" s="10"/>
      <c r="I31" s="10"/>
      <c r="J31" s="2"/>
    </row>
    <row r="32" spans="1:10" ht="15.75" customHeight="1" x14ac:dyDescent="0.2">
      <c r="A32" s="9" t="s">
        <v>93</v>
      </c>
      <c r="B32" s="9" t="s">
        <v>45</v>
      </c>
      <c r="C32" s="9" t="s">
        <v>141</v>
      </c>
      <c r="D32" s="9">
        <v>44541</v>
      </c>
      <c r="E32" s="9">
        <v>290</v>
      </c>
      <c r="F32" s="10"/>
      <c r="G32" s="6"/>
      <c r="H32" s="10"/>
      <c r="I32" s="10"/>
      <c r="J32" s="2"/>
    </row>
    <row r="33" spans="1:10" ht="15.75" customHeight="1" x14ac:dyDescent="0.2">
      <c r="A33" s="9" t="s">
        <v>94</v>
      </c>
      <c r="B33" s="9" t="s">
        <v>46</v>
      </c>
      <c r="C33" s="9" t="s">
        <v>142</v>
      </c>
      <c r="D33" s="9">
        <v>44556</v>
      </c>
      <c r="E33" s="9">
        <v>320</v>
      </c>
      <c r="F33" s="10"/>
      <c r="G33" s="6"/>
      <c r="H33" s="10"/>
      <c r="I33" s="10"/>
      <c r="J33" s="2"/>
    </row>
    <row r="34" spans="1:10" ht="15.75" customHeight="1" x14ac:dyDescent="0.2">
      <c r="A34" s="9" t="s">
        <v>95</v>
      </c>
      <c r="B34" s="9" t="s">
        <v>47</v>
      </c>
      <c r="C34" s="9" t="s">
        <v>143</v>
      </c>
      <c r="D34" s="9">
        <v>44571</v>
      </c>
      <c r="E34" s="9">
        <v>280</v>
      </c>
      <c r="F34" s="10"/>
      <c r="G34" s="6"/>
      <c r="H34" s="10"/>
      <c r="I34" s="10"/>
      <c r="J34" s="2"/>
    </row>
    <row r="35" spans="1:10" ht="15.75" customHeight="1" x14ac:dyDescent="0.2">
      <c r="A35" s="9" t="s">
        <v>96</v>
      </c>
      <c r="B35" s="9" t="s">
        <v>48</v>
      </c>
      <c r="C35" s="9" t="s">
        <v>144</v>
      </c>
      <c r="D35" s="9">
        <v>44586</v>
      </c>
      <c r="E35" s="9">
        <v>420</v>
      </c>
      <c r="F35" s="10"/>
      <c r="G35" s="6"/>
      <c r="H35" s="10"/>
      <c r="I35" s="10"/>
      <c r="J35" s="2"/>
    </row>
    <row r="36" spans="1:10" ht="15.75" customHeight="1" x14ac:dyDescent="0.2">
      <c r="A36" s="9" t="s">
        <v>97</v>
      </c>
      <c r="B36" s="9" t="s">
        <v>49</v>
      </c>
      <c r="C36" s="9" t="s">
        <v>145</v>
      </c>
      <c r="D36" s="9">
        <v>44601</v>
      </c>
      <c r="E36" s="9">
        <v>370</v>
      </c>
      <c r="F36" s="10"/>
      <c r="G36" s="6"/>
      <c r="H36" s="10"/>
      <c r="I36" s="10"/>
      <c r="J36" s="2"/>
    </row>
    <row r="37" spans="1:10" ht="15.75" customHeight="1" x14ac:dyDescent="0.2">
      <c r="A37" s="9" t="s">
        <v>98</v>
      </c>
      <c r="B37" s="9" t="s">
        <v>50</v>
      </c>
      <c r="C37" s="9" t="s">
        <v>146</v>
      </c>
      <c r="D37" s="9">
        <v>44616</v>
      </c>
      <c r="E37" s="9">
        <v>310</v>
      </c>
      <c r="F37" s="10"/>
      <c r="G37" s="6"/>
      <c r="H37" s="10"/>
      <c r="I37" s="10"/>
      <c r="J37" s="2"/>
    </row>
    <row r="38" spans="1:10" ht="15.75" customHeight="1" x14ac:dyDescent="0.2">
      <c r="A38" t="str">
        <f>UPPER(_xlfn.CONCAT(LEFT(C38,(FIND(".",C38)-1))," ",RIGHT(C38,FIND(".",C38)-1)))</f>
        <v>RITIK VERMA</v>
      </c>
      <c r="B38" s="9" t="s">
        <v>51</v>
      </c>
      <c r="C38" s="9" t="s">
        <v>147</v>
      </c>
      <c r="D38" s="9">
        <v>44631</v>
      </c>
      <c r="E38" s="9">
        <v>340</v>
      </c>
      <c r="F38" s="10" t="str">
        <f>RIGHT(C38,FIND(".",C38)-1)</f>
        <v>verma</v>
      </c>
      <c r="G38" s="6"/>
      <c r="H38" s="10"/>
      <c r="I38" s="10"/>
      <c r="J38" s="2"/>
    </row>
    <row r="39" spans="1:10" ht="15.75" customHeight="1" x14ac:dyDescent="0.2">
      <c r="A39" t="str">
        <f>UPPER(_xlfn.CONCAT(LEFT(C39,(FIND(".",C39)-1))," ",RIGHT(C39,FIND(".",C39)-2)))</f>
        <v>SHANAYA KAPOOR</v>
      </c>
      <c r="B39" s="9" t="s">
        <v>52</v>
      </c>
      <c r="C39" s="9" t="s">
        <v>148</v>
      </c>
      <c r="D39" s="9">
        <v>44646</v>
      </c>
      <c r="E39" s="9">
        <v>300</v>
      </c>
      <c r="F39" s="10"/>
      <c r="G39" s="6"/>
      <c r="H39" s="10"/>
      <c r="I39" s="10"/>
      <c r="J39" s="2"/>
    </row>
    <row r="40" spans="1:10" ht="15.75" customHeight="1" x14ac:dyDescent="0.2">
      <c r="A40" s="9" t="s">
        <v>99</v>
      </c>
      <c r="B40" s="9" t="s">
        <v>53</v>
      </c>
      <c r="C40" s="9" t="s">
        <v>149</v>
      </c>
      <c r="D40" s="9">
        <v>44661</v>
      </c>
      <c r="E40" s="9">
        <v>440</v>
      </c>
      <c r="F40" s="10"/>
      <c r="G40" s="6"/>
      <c r="H40" s="10"/>
      <c r="I40" s="10"/>
      <c r="J40" s="2"/>
    </row>
    <row r="41" spans="1:10" ht="15.75" customHeight="1" x14ac:dyDescent="0.2">
      <c r="A41" s="9" t="s">
        <v>100</v>
      </c>
      <c r="B41" s="9" t="s">
        <v>54</v>
      </c>
      <c r="C41" s="9" t="s">
        <v>150</v>
      </c>
      <c r="D41" s="9">
        <v>44676</v>
      </c>
      <c r="E41" s="9">
        <v>390</v>
      </c>
      <c r="F41" s="10"/>
      <c r="G41" s="6"/>
      <c r="H41" s="10"/>
      <c r="I41" s="10"/>
      <c r="J41" s="2"/>
    </row>
    <row r="42" spans="1:10" ht="15.75" customHeight="1" x14ac:dyDescent="0.2">
      <c r="A42" s="9" t="s">
        <v>101</v>
      </c>
      <c r="B42" s="9" t="s">
        <v>55</v>
      </c>
      <c r="C42" s="9" t="s">
        <v>151</v>
      </c>
      <c r="D42" s="9">
        <v>44691</v>
      </c>
      <c r="E42" s="9">
        <v>330</v>
      </c>
      <c r="F42" s="10"/>
      <c r="G42" s="6"/>
      <c r="H42" s="10"/>
      <c r="I42" s="10"/>
      <c r="J42" s="2"/>
    </row>
    <row r="43" spans="1:10" ht="15.75" customHeight="1" x14ac:dyDescent="0.2">
      <c r="A43" s="9" t="s">
        <v>102</v>
      </c>
      <c r="B43" s="9" t="s">
        <v>56</v>
      </c>
      <c r="C43" s="9" t="s">
        <v>152</v>
      </c>
      <c r="D43" s="9">
        <v>44706</v>
      </c>
      <c r="E43" s="9">
        <v>360</v>
      </c>
      <c r="F43" s="10"/>
      <c r="G43" s="6"/>
      <c r="H43" s="10"/>
      <c r="I43" s="10"/>
      <c r="J43" s="2"/>
    </row>
    <row r="44" spans="1:10" ht="15.75" customHeight="1" x14ac:dyDescent="0.2">
      <c r="A44" s="9" t="s">
        <v>103</v>
      </c>
      <c r="B44" s="9" t="s">
        <v>57</v>
      </c>
      <c r="C44" s="9" t="s">
        <v>153</v>
      </c>
      <c r="D44" s="9">
        <v>44826</v>
      </c>
      <c r="E44" s="9">
        <v>475</v>
      </c>
      <c r="F44" s="10"/>
      <c r="G44" s="6"/>
      <c r="H44" s="10"/>
      <c r="I44" s="10"/>
      <c r="J44" s="2"/>
    </row>
    <row r="45" spans="1:10" ht="15.75" customHeight="1" x14ac:dyDescent="0.2">
      <c r="A45" s="9" t="s">
        <v>104</v>
      </c>
      <c r="B45" s="9" t="s">
        <v>58</v>
      </c>
      <c r="C45" s="9" t="s">
        <v>154</v>
      </c>
      <c r="D45" s="9">
        <v>44721</v>
      </c>
      <c r="E45" s="9">
        <v>320</v>
      </c>
      <c r="F45" s="10"/>
      <c r="G45" s="6"/>
      <c r="H45" s="10"/>
      <c r="I45" s="10"/>
      <c r="J45" s="2"/>
    </row>
    <row r="46" spans="1:10" ht="15.75" customHeight="1" x14ac:dyDescent="0.2">
      <c r="A46" t="str">
        <f>UPPER(_xlfn.CONCAT(LEFT(C46,(FIND(".",C46)-1))," ",RIGHT(C46,FIND(".",C46)-1)))</f>
        <v>PARI EHRA</v>
      </c>
      <c r="B46" s="9" t="s">
        <v>59</v>
      </c>
      <c r="C46" s="9" t="s">
        <v>155</v>
      </c>
      <c r="D46" s="9">
        <v>44736</v>
      </c>
      <c r="E46" s="9">
        <v>460</v>
      </c>
      <c r="F46" s="10"/>
      <c r="G46" s="6"/>
      <c r="H46" s="10"/>
      <c r="I46" s="10"/>
      <c r="J46" s="2"/>
    </row>
    <row r="47" spans="1:10" ht="15.75" customHeight="1" x14ac:dyDescent="0.2">
      <c r="A47" s="9" t="s">
        <v>105</v>
      </c>
      <c r="B47" s="9" t="s">
        <v>60</v>
      </c>
      <c r="C47" s="9" t="s">
        <v>156</v>
      </c>
      <c r="D47" s="9">
        <v>44751</v>
      </c>
      <c r="E47" s="9">
        <v>410</v>
      </c>
      <c r="F47" s="10"/>
      <c r="G47" s="6"/>
      <c r="H47" s="10"/>
      <c r="I47" s="10"/>
      <c r="J47" s="2"/>
    </row>
    <row r="48" spans="1:10" ht="15.75" customHeight="1" x14ac:dyDescent="0.2">
      <c r="A48" s="9" t="s">
        <v>106</v>
      </c>
      <c r="B48" s="9" t="s">
        <v>61</v>
      </c>
      <c r="C48" s="9" t="s">
        <v>157</v>
      </c>
      <c r="D48" s="9">
        <v>44766</v>
      </c>
      <c r="E48" s="9">
        <v>350</v>
      </c>
      <c r="F48" s="10"/>
      <c r="G48" s="6"/>
      <c r="H48" s="10"/>
      <c r="I48" s="10"/>
      <c r="J48" s="2"/>
    </row>
    <row r="49" spans="1:10" ht="15.75" customHeight="1" x14ac:dyDescent="0.2">
      <c r="A49" s="9" t="s">
        <v>107</v>
      </c>
      <c r="B49" s="9" t="s">
        <v>62</v>
      </c>
      <c r="C49" s="9" t="s">
        <v>158</v>
      </c>
      <c r="D49" s="9">
        <v>44781</v>
      </c>
      <c r="E49" s="9">
        <v>380</v>
      </c>
      <c r="F49" s="10"/>
      <c r="G49" s="6"/>
      <c r="H49" s="10"/>
      <c r="I49" s="10"/>
      <c r="J49" s="2"/>
    </row>
    <row r="50" spans="1:10" ht="15.75" customHeight="1" x14ac:dyDescent="0.2">
      <c r="A50" s="9" t="s">
        <v>108</v>
      </c>
      <c r="B50" s="9" t="s">
        <v>63</v>
      </c>
      <c r="C50" s="9" t="s">
        <v>159</v>
      </c>
      <c r="D50" s="9">
        <v>44796</v>
      </c>
      <c r="E50" s="9" t="s">
        <v>21</v>
      </c>
      <c r="F50" s="10"/>
      <c r="G50" s="6"/>
      <c r="H50" s="10"/>
      <c r="I50" s="10"/>
      <c r="J50" s="2"/>
    </row>
    <row r="51" spans="1:10" ht="15.75" customHeight="1" x14ac:dyDescent="0.2">
      <c r="A51" s="9" t="s">
        <v>109</v>
      </c>
      <c r="B51" s="9" t="s">
        <v>64</v>
      </c>
      <c r="C51" s="9" t="s">
        <v>160</v>
      </c>
      <c r="D51" s="9">
        <v>44811</v>
      </c>
      <c r="E51" s="9">
        <v>480</v>
      </c>
      <c r="F51" s="10"/>
      <c r="G51" s="6"/>
      <c r="H51" s="10"/>
      <c r="I51" s="10"/>
      <c r="J51" s="2"/>
    </row>
    <row r="52" spans="1:10" ht="15.75" customHeight="1" x14ac:dyDescent="0.2">
      <c r="A52" s="9" t="s">
        <v>103</v>
      </c>
      <c r="B52" t="str">
        <f>_xlfn.CONCAT(C52,"@email.com")</f>
        <v>myra.tandon@email.com</v>
      </c>
      <c r="C52" s="9" t="s">
        <v>153</v>
      </c>
      <c r="D52" s="9">
        <v>44826</v>
      </c>
      <c r="E52" s="9">
        <v>430</v>
      </c>
      <c r="F52" s="10"/>
      <c r="G52" s="6"/>
      <c r="H52" s="10"/>
      <c r="I52" s="10"/>
      <c r="J52" s="2"/>
    </row>
    <row r="53" spans="1:10" ht="15.75" customHeight="1" x14ac:dyDescent="0.2">
      <c r="F53" s="10"/>
      <c r="G53" s="10"/>
      <c r="H53" s="10"/>
      <c r="I53" s="10"/>
      <c r="J53" s="2"/>
    </row>
    <row r="54" spans="1:10" ht="15.75" customHeight="1" x14ac:dyDescent="0.2">
      <c r="F54" s="10"/>
      <c r="G54" s="10"/>
      <c r="H54" s="10"/>
      <c r="I54" s="10"/>
      <c r="J54" s="2"/>
    </row>
    <row r="55" spans="1:10" ht="15.75" customHeight="1" x14ac:dyDescent="0.2">
      <c r="F55" s="10"/>
      <c r="G55" s="10"/>
      <c r="H55" s="10"/>
      <c r="I55" s="10"/>
      <c r="J55" s="10"/>
    </row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F2">
    <cfRule type="duplicateValues" dxfId="0" priority="1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zoomScale="175" workbookViewId="0">
      <selection activeCell="B7" sqref="B7"/>
    </sheetView>
  </sheetViews>
  <sheetFormatPr baseColWidth="10" defaultColWidth="12.6640625" defaultRowHeight="15" customHeight="1" x14ac:dyDescent="0.2"/>
  <cols>
    <col min="1" max="1" width="69" customWidth="1"/>
    <col min="2" max="2" width="62.83203125" customWidth="1"/>
    <col min="3" max="26" width="8.6640625" customWidth="1"/>
  </cols>
  <sheetData>
    <row r="1" spans="1:2" x14ac:dyDescent="0.2">
      <c r="A1" s="5" t="s">
        <v>4</v>
      </c>
    </row>
    <row r="2" spans="1:2" ht="32" x14ac:dyDescent="0.2">
      <c r="A2" s="2" t="s">
        <v>5</v>
      </c>
    </row>
    <row r="3" spans="1:2" x14ac:dyDescent="0.2">
      <c r="B3" s="5" t="s">
        <v>6</v>
      </c>
    </row>
    <row r="4" spans="1:2" ht="48" x14ac:dyDescent="0.2">
      <c r="A4" s="2" t="s">
        <v>7</v>
      </c>
      <c r="B4" s="6" t="s">
        <v>205</v>
      </c>
    </row>
    <row r="5" spans="1:2" ht="64" x14ac:dyDescent="0.2">
      <c r="A5" s="7" t="s">
        <v>8</v>
      </c>
      <c r="B5" s="7" t="s">
        <v>207</v>
      </c>
    </row>
    <row r="6" spans="1:2" ht="48" x14ac:dyDescent="0.2">
      <c r="A6" s="7" t="s">
        <v>9</v>
      </c>
      <c r="B6" s="12">
        <v>293.47115380000002</v>
      </c>
    </row>
    <row r="7" spans="1:2" x14ac:dyDescent="0.2">
      <c r="A7" s="2"/>
      <c r="B7" s="8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C1" zoomScale="188" workbookViewId="0">
      <selection activeCell="G3" sqref="G3"/>
    </sheetView>
  </sheetViews>
  <sheetFormatPr baseColWidth="10" defaultColWidth="12.6640625" defaultRowHeight="15" customHeight="1" x14ac:dyDescent="0.2"/>
  <cols>
    <col min="1" max="1" width="18.6640625" customWidth="1"/>
    <col min="2" max="2" width="28.6640625" customWidth="1"/>
    <col min="3" max="3" width="8.6640625" customWidth="1"/>
    <col min="4" max="4" width="9" customWidth="1"/>
    <col min="5" max="5" width="21.1640625" customWidth="1"/>
    <col min="6" max="6" width="32.6640625" customWidth="1"/>
    <col min="7" max="7" width="21.6640625" customWidth="1"/>
    <col min="8" max="8" width="12" customWidth="1"/>
    <col min="9" max="9" width="8.6640625" customWidth="1"/>
    <col min="10" max="10" width="13.6640625" customWidth="1"/>
    <col min="11" max="11" width="36.6640625" customWidth="1"/>
    <col min="12" max="25" width="8.6640625" customWidth="1"/>
  </cols>
  <sheetData>
    <row r="1" spans="1:11" x14ac:dyDescent="0.2">
      <c r="A1" s="9" t="s">
        <v>10</v>
      </c>
      <c r="B1" s="9" t="s">
        <v>11</v>
      </c>
      <c r="C1" s="9" t="s">
        <v>12</v>
      </c>
      <c r="D1" s="9" t="s">
        <v>13</v>
      </c>
      <c r="E1" t="s">
        <v>206</v>
      </c>
      <c r="F1" t="s">
        <v>208</v>
      </c>
      <c r="G1" s="10"/>
      <c r="H1" s="10"/>
      <c r="I1" s="10"/>
      <c r="J1" s="10"/>
      <c r="K1" s="10"/>
    </row>
    <row r="2" spans="1:11" x14ac:dyDescent="0.2">
      <c r="A2" s="9" t="s">
        <v>161</v>
      </c>
      <c r="B2" s="9" t="s">
        <v>14</v>
      </c>
      <c r="C2" s="9">
        <v>44101</v>
      </c>
      <c r="D2" s="9">
        <v>100</v>
      </c>
      <c r="E2" s="10" t="str">
        <f>_xlfn.TEXTAFTER(B2,"@")</f>
        <v>email.com</v>
      </c>
      <c r="F2" s="10">
        <f>IF(D2=".", 0,D2)</f>
        <v>100</v>
      </c>
      <c r="G2" s="10" t="s">
        <v>209</v>
      </c>
      <c r="H2" s="6"/>
      <c r="I2" s="10"/>
      <c r="J2" s="10"/>
      <c r="K2" s="2"/>
    </row>
    <row r="3" spans="1:11" x14ac:dyDescent="0.2">
      <c r="A3" s="9" t="s">
        <v>162</v>
      </c>
      <c r="B3" s="9" t="s">
        <v>15</v>
      </c>
      <c r="C3" s="9">
        <v>44116</v>
      </c>
      <c r="D3" s="9">
        <v>200.5</v>
      </c>
      <c r="E3" s="10" t="str">
        <f t="shared" ref="E3:E53" si="0">_xlfn.TEXTAFTER(B3,"@")</f>
        <v>email.com</v>
      </c>
      <c r="F3" s="10">
        <f t="shared" ref="F3:F53" si="1">IF(D3=".", 0,D3)</f>
        <v>200.5</v>
      </c>
      <c r="G3" s="10">
        <f>AVERAGE(F2:F53)</f>
        <v>293.47115384615387</v>
      </c>
      <c r="H3" s="6"/>
      <c r="I3" s="10"/>
      <c r="J3" s="10"/>
      <c r="K3" s="2"/>
    </row>
    <row r="4" spans="1:11" x14ac:dyDescent="0.2">
      <c r="A4" s="9" t="s">
        <v>163</v>
      </c>
      <c r="B4" s="9" t="s">
        <v>16</v>
      </c>
      <c r="C4" s="9">
        <v>44131</v>
      </c>
      <c r="D4" s="9">
        <v>150</v>
      </c>
      <c r="E4" s="10" t="str">
        <f t="shared" si="0"/>
        <v>email.com</v>
      </c>
      <c r="F4" s="10">
        <f t="shared" si="1"/>
        <v>150</v>
      </c>
      <c r="G4" s="10"/>
      <c r="H4" s="6"/>
      <c r="I4" s="10"/>
      <c r="J4" s="10"/>
      <c r="K4" s="2"/>
    </row>
    <row r="5" spans="1:11" x14ac:dyDescent="0.2">
      <c r="A5" s="6" t="s">
        <v>68</v>
      </c>
      <c r="B5" s="9" t="s">
        <v>17</v>
      </c>
      <c r="C5" s="9">
        <v>44146</v>
      </c>
      <c r="D5" s="9">
        <v>300</v>
      </c>
      <c r="E5" s="10" t="str">
        <f t="shared" si="0"/>
        <v>email.com</v>
      </c>
      <c r="F5" s="10">
        <f t="shared" si="1"/>
        <v>300</v>
      </c>
      <c r="G5" s="10"/>
      <c r="H5" s="6"/>
      <c r="I5" s="10"/>
      <c r="J5" s="10"/>
      <c r="K5" s="2"/>
    </row>
    <row r="6" spans="1:11" x14ac:dyDescent="0.2">
      <c r="A6" s="9" t="s">
        <v>164</v>
      </c>
      <c r="B6" s="9" t="s">
        <v>18</v>
      </c>
      <c r="C6" s="9">
        <v>44151</v>
      </c>
      <c r="D6" s="9">
        <v>250</v>
      </c>
      <c r="E6" s="10" t="str">
        <f t="shared" si="0"/>
        <v>email.com</v>
      </c>
      <c r="F6" s="10">
        <f t="shared" si="1"/>
        <v>250</v>
      </c>
      <c r="G6" s="10"/>
      <c r="H6" s="6"/>
      <c r="I6" s="10"/>
      <c r="J6" s="10"/>
      <c r="K6" s="2"/>
    </row>
    <row r="7" spans="1:11" x14ac:dyDescent="0.2">
      <c r="A7" s="9" t="s">
        <v>165</v>
      </c>
      <c r="B7" s="9" t="s">
        <v>19</v>
      </c>
      <c r="C7" s="9">
        <v>44166</v>
      </c>
      <c r="D7" s="9">
        <v>180</v>
      </c>
      <c r="E7" s="10" t="str">
        <f t="shared" si="0"/>
        <v>email.com</v>
      </c>
      <c r="F7" s="10">
        <f t="shared" si="1"/>
        <v>180</v>
      </c>
      <c r="G7" s="10"/>
      <c r="H7" s="6"/>
      <c r="I7" s="10"/>
      <c r="J7" s="10"/>
      <c r="K7" s="2"/>
    </row>
    <row r="8" spans="1:11" x14ac:dyDescent="0.2">
      <c r="A8" s="9" t="s">
        <v>166</v>
      </c>
      <c r="B8" s="9" t="s">
        <v>20</v>
      </c>
      <c r="C8" s="9">
        <v>44181</v>
      </c>
      <c r="D8" s="9" t="s">
        <v>21</v>
      </c>
      <c r="E8" s="10" t="str">
        <f t="shared" si="0"/>
        <v>email.com</v>
      </c>
      <c r="F8" s="10">
        <f t="shared" si="1"/>
        <v>0</v>
      </c>
      <c r="G8" s="10"/>
      <c r="H8" s="6"/>
      <c r="I8" s="10"/>
      <c r="J8" s="10"/>
      <c r="K8" s="2"/>
    </row>
    <row r="9" spans="1:11" x14ac:dyDescent="0.2">
      <c r="A9" s="9" t="s">
        <v>167</v>
      </c>
      <c r="B9" s="9" t="s">
        <v>22</v>
      </c>
      <c r="C9" s="9">
        <v>44196</v>
      </c>
      <c r="D9" s="9">
        <v>190</v>
      </c>
      <c r="E9" s="10" t="str">
        <f t="shared" si="0"/>
        <v>email.com</v>
      </c>
      <c r="F9" s="10">
        <f t="shared" si="1"/>
        <v>190</v>
      </c>
      <c r="G9" s="10"/>
      <c r="H9" s="6"/>
      <c r="I9" s="10"/>
      <c r="J9" s="10"/>
      <c r="K9" s="2"/>
    </row>
    <row r="10" spans="1:11" x14ac:dyDescent="0.2">
      <c r="A10" s="9" t="s">
        <v>168</v>
      </c>
      <c r="B10" s="9" t="s">
        <v>23</v>
      </c>
      <c r="C10" s="9">
        <v>44211</v>
      </c>
      <c r="D10" s="9">
        <v>320</v>
      </c>
      <c r="E10" s="10" t="str">
        <f t="shared" si="0"/>
        <v>email.com</v>
      </c>
      <c r="F10" s="10">
        <f t="shared" si="1"/>
        <v>320</v>
      </c>
      <c r="G10" s="10"/>
      <c r="H10" s="6"/>
      <c r="I10" s="10"/>
      <c r="J10" s="10"/>
      <c r="K10" s="2"/>
    </row>
    <row r="11" spans="1:11" x14ac:dyDescent="0.2">
      <c r="A11" s="9" t="s">
        <v>169</v>
      </c>
      <c r="B11" s="9" t="s">
        <v>24</v>
      </c>
      <c r="C11" s="9">
        <v>44226</v>
      </c>
      <c r="D11" s="9">
        <v>270</v>
      </c>
      <c r="E11" s="10" t="str">
        <f t="shared" si="0"/>
        <v>email.com</v>
      </c>
      <c r="F11" s="10">
        <f t="shared" si="1"/>
        <v>270</v>
      </c>
      <c r="G11" s="10"/>
      <c r="H11" s="6"/>
      <c r="I11" s="10"/>
      <c r="J11" s="10"/>
      <c r="K11" s="2"/>
    </row>
    <row r="12" spans="1:11" x14ac:dyDescent="0.2">
      <c r="A12" s="9" t="s">
        <v>170</v>
      </c>
      <c r="B12" s="9" t="s">
        <v>25</v>
      </c>
      <c r="C12" s="9">
        <v>44241</v>
      </c>
      <c r="D12" s="9">
        <v>210</v>
      </c>
      <c r="E12" s="10" t="str">
        <f t="shared" si="0"/>
        <v>email.com</v>
      </c>
      <c r="F12" s="10">
        <f t="shared" si="1"/>
        <v>210</v>
      </c>
      <c r="G12" s="10"/>
      <c r="H12" s="6"/>
      <c r="I12" s="10"/>
      <c r="J12" s="10"/>
      <c r="K12" s="2"/>
    </row>
    <row r="13" spans="1:11" x14ac:dyDescent="0.2">
      <c r="A13" s="9" t="s">
        <v>171</v>
      </c>
      <c r="B13" s="9" t="s">
        <v>26</v>
      </c>
      <c r="C13" s="9">
        <v>44256</v>
      </c>
      <c r="D13" s="9">
        <v>240</v>
      </c>
      <c r="E13" s="10" t="str">
        <f t="shared" si="0"/>
        <v>email.com</v>
      </c>
      <c r="F13" s="10">
        <f t="shared" si="1"/>
        <v>240</v>
      </c>
      <c r="G13" s="10"/>
      <c r="H13" s="6"/>
      <c r="I13" s="10"/>
      <c r="J13" s="10"/>
      <c r="K13" s="2"/>
    </row>
    <row r="14" spans="1:11" x14ac:dyDescent="0.2">
      <c r="A14" s="9" t="s">
        <v>172</v>
      </c>
      <c r="B14" s="9" t="s">
        <v>27</v>
      </c>
      <c r="C14" s="9">
        <v>44271</v>
      </c>
      <c r="D14" s="9">
        <v>200</v>
      </c>
      <c r="E14" s="10" t="str">
        <f t="shared" si="0"/>
        <v>email.com</v>
      </c>
      <c r="F14" s="10">
        <f t="shared" si="1"/>
        <v>200</v>
      </c>
      <c r="G14" s="10"/>
      <c r="H14" s="6"/>
      <c r="I14" s="10"/>
      <c r="J14" s="10"/>
      <c r="K14" s="2"/>
    </row>
    <row r="15" spans="1:11" x14ac:dyDescent="0.2">
      <c r="A15" s="9" t="s">
        <v>173</v>
      </c>
      <c r="B15" s="9" t="s">
        <v>28</v>
      </c>
      <c r="C15" s="9">
        <v>44286</v>
      </c>
      <c r="D15" s="9">
        <v>340</v>
      </c>
      <c r="E15" s="10" t="str">
        <f t="shared" si="0"/>
        <v>email.com</v>
      </c>
      <c r="F15" s="10">
        <f t="shared" si="1"/>
        <v>340</v>
      </c>
      <c r="G15" s="10"/>
      <c r="H15" s="6"/>
      <c r="I15" s="10"/>
      <c r="J15" s="10"/>
      <c r="K15" s="2"/>
    </row>
    <row r="16" spans="1:11" x14ac:dyDescent="0.2">
      <c r="A16" t="s">
        <v>68</v>
      </c>
      <c r="B16" s="9" t="s">
        <v>29</v>
      </c>
      <c r="C16" s="9">
        <v>44301</v>
      </c>
      <c r="D16" s="9">
        <v>290</v>
      </c>
      <c r="E16" s="10" t="str">
        <f t="shared" si="0"/>
        <v>email.com</v>
      </c>
      <c r="F16" s="10">
        <f t="shared" si="1"/>
        <v>290</v>
      </c>
      <c r="G16" s="10"/>
      <c r="H16" s="6"/>
      <c r="I16" s="10"/>
      <c r="J16" s="10"/>
      <c r="K16" s="2"/>
    </row>
    <row r="17" spans="1:11" x14ac:dyDescent="0.2">
      <c r="A17" s="9" t="s">
        <v>174</v>
      </c>
      <c r="B17" s="9" t="s">
        <v>30</v>
      </c>
      <c r="C17" s="9">
        <v>44316</v>
      </c>
      <c r="D17" s="9">
        <v>230</v>
      </c>
      <c r="E17" s="10" t="str">
        <f t="shared" si="0"/>
        <v>email.com</v>
      </c>
      <c r="F17" s="10">
        <f t="shared" si="1"/>
        <v>230</v>
      </c>
      <c r="G17" s="10"/>
      <c r="H17" s="6"/>
      <c r="I17" s="10"/>
      <c r="J17" s="10"/>
      <c r="K17" s="2"/>
    </row>
    <row r="18" spans="1:11" x14ac:dyDescent="0.2">
      <c r="A18" s="9" t="s">
        <v>175</v>
      </c>
      <c r="B18" s="9" t="s">
        <v>31</v>
      </c>
      <c r="C18" s="9">
        <v>44331</v>
      </c>
      <c r="D18" s="9">
        <v>260</v>
      </c>
      <c r="E18" s="10" t="str">
        <f t="shared" si="0"/>
        <v>email.com</v>
      </c>
      <c r="F18" s="10">
        <f t="shared" si="1"/>
        <v>260</v>
      </c>
      <c r="G18" s="10"/>
      <c r="H18" s="6"/>
      <c r="I18" s="10"/>
      <c r="J18" s="10"/>
      <c r="K18" s="2"/>
    </row>
    <row r="19" spans="1:11" x14ac:dyDescent="0.2">
      <c r="A19" s="9" t="s">
        <v>176</v>
      </c>
      <c r="B19" s="9" t="s">
        <v>32</v>
      </c>
      <c r="C19" s="9">
        <v>44346</v>
      </c>
      <c r="D19" s="9">
        <v>220</v>
      </c>
      <c r="E19" s="10" t="str">
        <f t="shared" si="0"/>
        <v>email.com</v>
      </c>
      <c r="F19" s="10">
        <f t="shared" si="1"/>
        <v>220</v>
      </c>
      <c r="G19" s="10"/>
      <c r="H19" s="6"/>
      <c r="I19" s="10"/>
      <c r="J19" s="10"/>
      <c r="K19" s="2"/>
    </row>
    <row r="20" spans="1:11" x14ac:dyDescent="0.2">
      <c r="A20" s="9" t="s">
        <v>177</v>
      </c>
      <c r="B20" s="9" t="s">
        <v>33</v>
      </c>
      <c r="C20" s="9">
        <v>44361</v>
      </c>
      <c r="D20" s="9">
        <v>360</v>
      </c>
      <c r="E20" s="10" t="str">
        <f t="shared" si="0"/>
        <v>email.com</v>
      </c>
      <c r="F20" s="10">
        <f t="shared" si="1"/>
        <v>360</v>
      </c>
      <c r="G20" s="10"/>
      <c r="H20" s="6"/>
      <c r="I20" s="10"/>
      <c r="J20" s="10"/>
      <c r="K20" s="2"/>
    </row>
    <row r="21" spans="1:11" ht="15.75" customHeight="1" x14ac:dyDescent="0.2">
      <c r="A21" s="9" t="s">
        <v>178</v>
      </c>
      <c r="B21" s="9" t="s">
        <v>34</v>
      </c>
      <c r="C21" s="9">
        <v>44376</v>
      </c>
      <c r="D21" s="9">
        <v>310</v>
      </c>
      <c r="E21" s="10" t="str">
        <f t="shared" si="0"/>
        <v>email.com</v>
      </c>
      <c r="F21" s="10">
        <f t="shared" si="1"/>
        <v>310</v>
      </c>
      <c r="G21" s="10"/>
      <c r="H21" s="6"/>
      <c r="I21" s="10"/>
      <c r="J21" s="10"/>
      <c r="K21" s="2"/>
    </row>
    <row r="22" spans="1:11" ht="15.75" customHeight="1" x14ac:dyDescent="0.2">
      <c r="A22" s="9" t="s">
        <v>179</v>
      </c>
      <c r="B22" s="9" t="s">
        <v>35</v>
      </c>
      <c r="C22" s="9">
        <v>44391</v>
      </c>
      <c r="D22" s="9">
        <v>250</v>
      </c>
      <c r="E22" s="10" t="str">
        <f t="shared" si="0"/>
        <v>email.com</v>
      </c>
      <c r="F22" s="10">
        <f t="shared" si="1"/>
        <v>250</v>
      </c>
      <c r="G22" s="10"/>
      <c r="H22" s="6"/>
      <c r="I22" s="10"/>
      <c r="J22" s="10"/>
      <c r="K22" s="2"/>
    </row>
    <row r="23" spans="1:11" ht="15.75" customHeight="1" x14ac:dyDescent="0.2">
      <c r="A23" s="9" t="s">
        <v>180</v>
      </c>
      <c r="B23" s="9" t="s">
        <v>36</v>
      </c>
      <c r="C23" s="9">
        <v>44406</v>
      </c>
      <c r="D23" s="9">
        <v>280</v>
      </c>
      <c r="E23" s="10" t="str">
        <f t="shared" si="0"/>
        <v>email.com</v>
      </c>
      <c r="F23" s="10">
        <f t="shared" si="1"/>
        <v>280</v>
      </c>
      <c r="G23" s="10"/>
      <c r="H23" s="6"/>
      <c r="I23" s="10"/>
      <c r="J23" s="10"/>
      <c r="K23" s="2"/>
    </row>
    <row r="24" spans="1:11" ht="15.75" customHeight="1" x14ac:dyDescent="0.2">
      <c r="A24" s="9" t="s">
        <v>181</v>
      </c>
      <c r="B24" s="9" t="s">
        <v>37</v>
      </c>
      <c r="C24" s="9">
        <v>44421</v>
      </c>
      <c r="D24" s="9">
        <v>240</v>
      </c>
      <c r="E24" s="10" t="str">
        <f t="shared" si="0"/>
        <v>email.com</v>
      </c>
      <c r="F24" s="10">
        <f t="shared" si="1"/>
        <v>240</v>
      </c>
      <c r="G24" s="10"/>
      <c r="H24" s="6"/>
      <c r="I24" s="10"/>
      <c r="J24" s="10"/>
      <c r="K24" s="2"/>
    </row>
    <row r="25" spans="1:11" ht="15.75" customHeight="1" x14ac:dyDescent="0.2">
      <c r="A25" s="9" t="s">
        <v>182</v>
      </c>
      <c r="B25" s="9" t="s">
        <v>38</v>
      </c>
      <c r="C25" s="9">
        <v>44436</v>
      </c>
      <c r="D25" s="9">
        <v>380</v>
      </c>
      <c r="E25" s="10" t="str">
        <f t="shared" si="0"/>
        <v>email.com</v>
      </c>
      <c r="F25" s="10">
        <f t="shared" si="1"/>
        <v>380</v>
      </c>
      <c r="G25" s="10"/>
      <c r="H25" s="6"/>
      <c r="I25" s="10"/>
      <c r="J25" s="10"/>
      <c r="K25" s="2"/>
    </row>
    <row r="26" spans="1:11" ht="15.75" customHeight="1" x14ac:dyDescent="0.2">
      <c r="A26" s="9" t="s">
        <v>183</v>
      </c>
      <c r="B26" s="9" t="s">
        <v>39</v>
      </c>
      <c r="C26" s="9">
        <v>44451</v>
      </c>
      <c r="D26" s="9">
        <v>330</v>
      </c>
      <c r="E26" s="10" t="str">
        <f t="shared" si="0"/>
        <v>email.com</v>
      </c>
      <c r="F26" s="10">
        <f t="shared" si="1"/>
        <v>330</v>
      </c>
      <c r="G26" s="10"/>
      <c r="H26" s="6"/>
      <c r="I26" s="10"/>
      <c r="J26" s="10"/>
      <c r="K26" s="2"/>
    </row>
    <row r="27" spans="1:11" ht="15.75" customHeight="1" x14ac:dyDescent="0.2">
      <c r="A27" s="9" t="s">
        <v>184</v>
      </c>
      <c r="B27" s="9" t="s">
        <v>40</v>
      </c>
      <c r="C27" s="9">
        <v>44466</v>
      </c>
      <c r="D27" s="9">
        <v>270</v>
      </c>
      <c r="E27" s="10" t="str">
        <f t="shared" si="0"/>
        <v>email.com</v>
      </c>
      <c r="F27" s="10">
        <f t="shared" si="1"/>
        <v>270</v>
      </c>
      <c r="G27" s="10"/>
      <c r="H27" s="6"/>
      <c r="I27" s="10"/>
      <c r="J27" s="10"/>
      <c r="K27" s="2"/>
    </row>
    <row r="28" spans="1:11" ht="15.75" customHeight="1" x14ac:dyDescent="0.2">
      <c r="A28" s="9" t="s">
        <v>185</v>
      </c>
      <c r="B28" s="9" t="s">
        <v>41</v>
      </c>
      <c r="C28" s="9">
        <v>44481</v>
      </c>
      <c r="D28" s="9">
        <v>300</v>
      </c>
      <c r="E28" s="10" t="str">
        <f t="shared" si="0"/>
        <v>email.com</v>
      </c>
      <c r="F28" s="10">
        <f t="shared" si="1"/>
        <v>300</v>
      </c>
      <c r="G28" s="10"/>
      <c r="H28" s="6"/>
      <c r="I28" s="10"/>
      <c r="J28" s="10"/>
      <c r="K28" s="2"/>
    </row>
    <row r="29" spans="1:11" ht="15.75" customHeight="1" x14ac:dyDescent="0.2">
      <c r="A29" s="9" t="s">
        <v>186</v>
      </c>
      <c r="B29" s="9" t="s">
        <v>42</v>
      </c>
      <c r="C29" s="9">
        <v>44496</v>
      </c>
      <c r="D29" s="9">
        <v>260</v>
      </c>
      <c r="E29" s="10" t="str">
        <f t="shared" si="0"/>
        <v>email.com</v>
      </c>
      <c r="F29" s="10">
        <f t="shared" si="1"/>
        <v>260</v>
      </c>
      <c r="G29" s="10"/>
      <c r="H29" s="6"/>
      <c r="I29" s="10"/>
      <c r="J29" s="10"/>
      <c r="K29" s="2"/>
    </row>
    <row r="30" spans="1:11" ht="15.75" customHeight="1" x14ac:dyDescent="0.2">
      <c r="A30" t="s">
        <v>68</v>
      </c>
      <c r="B30" s="9" t="s">
        <v>43</v>
      </c>
      <c r="C30" s="9">
        <v>44511</v>
      </c>
      <c r="D30" s="9">
        <v>400</v>
      </c>
      <c r="E30" s="10" t="str">
        <f t="shared" si="0"/>
        <v>email.com</v>
      </c>
      <c r="F30" s="10">
        <f t="shared" si="1"/>
        <v>400</v>
      </c>
      <c r="G30" s="10"/>
      <c r="H30" s="6"/>
      <c r="I30" s="10"/>
      <c r="J30" s="10"/>
      <c r="K30" s="2"/>
    </row>
    <row r="31" spans="1:11" ht="15.75" customHeight="1" x14ac:dyDescent="0.2">
      <c r="A31" s="9" t="s">
        <v>187</v>
      </c>
      <c r="B31" s="9" t="s">
        <v>44</v>
      </c>
      <c r="C31" s="9">
        <v>44526</v>
      </c>
      <c r="D31" s="9" t="s">
        <v>21</v>
      </c>
      <c r="E31" s="10" t="str">
        <f t="shared" si="0"/>
        <v>email.com</v>
      </c>
      <c r="F31" s="10">
        <f t="shared" si="1"/>
        <v>0</v>
      </c>
      <c r="G31" s="10"/>
      <c r="H31" s="6"/>
      <c r="I31" s="10"/>
      <c r="J31" s="10"/>
      <c r="K31" s="2"/>
    </row>
    <row r="32" spans="1:11" ht="15.75" customHeight="1" x14ac:dyDescent="0.2">
      <c r="A32" s="9" t="s">
        <v>188</v>
      </c>
      <c r="B32" s="9" t="s">
        <v>45</v>
      </c>
      <c r="C32" s="9">
        <v>44541</v>
      </c>
      <c r="D32" s="9">
        <v>290</v>
      </c>
      <c r="E32" s="10" t="str">
        <f t="shared" si="0"/>
        <v>email.com</v>
      </c>
      <c r="F32" s="10">
        <f t="shared" si="1"/>
        <v>290</v>
      </c>
      <c r="G32" s="10"/>
      <c r="H32" s="6"/>
      <c r="I32" s="10"/>
      <c r="J32" s="10"/>
      <c r="K32" s="2"/>
    </row>
    <row r="33" spans="1:11" ht="15.75" customHeight="1" x14ac:dyDescent="0.2">
      <c r="A33" s="9" t="s">
        <v>189</v>
      </c>
      <c r="B33" s="9" t="s">
        <v>46</v>
      </c>
      <c r="C33" s="9">
        <v>44556</v>
      </c>
      <c r="D33" s="9">
        <v>320</v>
      </c>
      <c r="E33" s="10" t="str">
        <f t="shared" si="0"/>
        <v>email.com</v>
      </c>
      <c r="F33" s="10">
        <f t="shared" si="1"/>
        <v>320</v>
      </c>
      <c r="G33" s="10"/>
      <c r="H33" s="6"/>
      <c r="I33" s="10"/>
      <c r="J33" s="10"/>
      <c r="K33" s="2"/>
    </row>
    <row r="34" spans="1:11" ht="15.75" customHeight="1" x14ac:dyDescent="0.2">
      <c r="A34" s="9" t="s">
        <v>190</v>
      </c>
      <c r="B34" s="9" t="s">
        <v>47</v>
      </c>
      <c r="C34" s="9">
        <v>44571</v>
      </c>
      <c r="D34" s="9">
        <v>280</v>
      </c>
      <c r="E34" s="10" t="str">
        <f t="shared" si="0"/>
        <v>email.com</v>
      </c>
      <c r="F34" s="10">
        <f t="shared" si="1"/>
        <v>280</v>
      </c>
      <c r="G34" s="10"/>
      <c r="H34" s="6"/>
      <c r="I34" s="10"/>
      <c r="J34" s="10"/>
      <c r="K34" s="2"/>
    </row>
    <row r="35" spans="1:11" ht="15.75" customHeight="1" x14ac:dyDescent="0.2">
      <c r="A35" s="9" t="s">
        <v>191</v>
      </c>
      <c r="B35" s="9" t="s">
        <v>48</v>
      </c>
      <c r="C35" s="9">
        <v>44586</v>
      </c>
      <c r="D35" s="9">
        <v>420</v>
      </c>
      <c r="E35" s="10" t="str">
        <f t="shared" si="0"/>
        <v>email.com</v>
      </c>
      <c r="F35" s="10">
        <f t="shared" si="1"/>
        <v>420</v>
      </c>
      <c r="G35" s="10"/>
      <c r="H35" s="6"/>
      <c r="I35" s="10"/>
      <c r="J35" s="10"/>
      <c r="K35" s="2"/>
    </row>
    <row r="36" spans="1:11" ht="15.75" customHeight="1" x14ac:dyDescent="0.2">
      <c r="A36" s="9" t="s">
        <v>192</v>
      </c>
      <c r="B36" s="9" t="s">
        <v>49</v>
      </c>
      <c r="C36" s="9">
        <v>44601</v>
      </c>
      <c r="D36" s="9">
        <v>370</v>
      </c>
      <c r="E36" s="10" t="str">
        <f t="shared" si="0"/>
        <v>email.com</v>
      </c>
      <c r="F36" s="10">
        <f t="shared" si="1"/>
        <v>370</v>
      </c>
      <c r="G36" s="10"/>
      <c r="H36" s="6"/>
      <c r="I36" s="10"/>
      <c r="J36" s="10"/>
      <c r="K36" s="2"/>
    </row>
    <row r="37" spans="1:11" ht="15.75" customHeight="1" x14ac:dyDescent="0.2">
      <c r="A37" s="9" t="s">
        <v>193</v>
      </c>
      <c r="B37" s="9" t="s">
        <v>50</v>
      </c>
      <c r="C37" s="9">
        <v>44616</v>
      </c>
      <c r="D37" s="9">
        <v>310</v>
      </c>
      <c r="E37" s="10" t="str">
        <f t="shared" si="0"/>
        <v>email.com</v>
      </c>
      <c r="F37" s="10">
        <f t="shared" si="1"/>
        <v>310</v>
      </c>
      <c r="G37" s="10"/>
      <c r="H37" s="6"/>
      <c r="I37" s="10"/>
      <c r="J37" s="10"/>
      <c r="K37" s="2"/>
    </row>
    <row r="38" spans="1:11" ht="15.75" customHeight="1" x14ac:dyDescent="0.2">
      <c r="A38" t="s">
        <v>68</v>
      </c>
      <c r="B38" s="9" t="s">
        <v>51</v>
      </c>
      <c r="C38" s="9">
        <v>44631</v>
      </c>
      <c r="D38" s="9">
        <v>340</v>
      </c>
      <c r="E38" s="10" t="str">
        <f t="shared" si="0"/>
        <v>email.com</v>
      </c>
      <c r="F38" s="10">
        <f t="shared" si="1"/>
        <v>340</v>
      </c>
      <c r="G38" s="10"/>
      <c r="H38" s="6"/>
      <c r="I38" s="10"/>
      <c r="J38" s="10"/>
      <c r="K38" s="2"/>
    </row>
    <row r="39" spans="1:11" ht="15.75" customHeight="1" x14ac:dyDescent="0.2">
      <c r="A39" t="s">
        <v>68</v>
      </c>
      <c r="B39" s="9" t="s">
        <v>52</v>
      </c>
      <c r="C39" s="9">
        <v>44646</v>
      </c>
      <c r="D39" s="9">
        <v>300</v>
      </c>
      <c r="E39" s="10" t="str">
        <f t="shared" si="0"/>
        <v>email.com</v>
      </c>
      <c r="F39" s="10">
        <f t="shared" si="1"/>
        <v>300</v>
      </c>
      <c r="G39" s="10"/>
      <c r="H39" s="6"/>
      <c r="I39" s="10"/>
      <c r="J39" s="10"/>
      <c r="K39" s="2"/>
    </row>
    <row r="40" spans="1:11" ht="15.75" customHeight="1" x14ac:dyDescent="0.2">
      <c r="A40" s="9" t="s">
        <v>194</v>
      </c>
      <c r="B40" s="9" t="s">
        <v>53</v>
      </c>
      <c r="C40" s="9">
        <v>44661</v>
      </c>
      <c r="D40" s="9">
        <v>440</v>
      </c>
      <c r="E40" s="10" t="str">
        <f t="shared" si="0"/>
        <v>email.com</v>
      </c>
      <c r="F40" s="10">
        <f t="shared" si="1"/>
        <v>440</v>
      </c>
      <c r="G40" s="10"/>
      <c r="H40" s="6"/>
      <c r="I40" s="10"/>
      <c r="J40" s="10"/>
      <c r="K40" s="2"/>
    </row>
    <row r="41" spans="1:11" ht="15.75" customHeight="1" x14ac:dyDescent="0.2">
      <c r="A41" s="9" t="s">
        <v>195</v>
      </c>
      <c r="B41" s="9" t="s">
        <v>54</v>
      </c>
      <c r="C41" s="9">
        <v>44676</v>
      </c>
      <c r="D41" s="9">
        <v>390</v>
      </c>
      <c r="E41" s="10" t="str">
        <f t="shared" si="0"/>
        <v>email.com</v>
      </c>
      <c r="F41" s="10">
        <f t="shared" si="1"/>
        <v>390</v>
      </c>
      <c r="G41" s="10"/>
      <c r="H41" s="6"/>
      <c r="I41" s="10"/>
      <c r="J41" s="10"/>
      <c r="K41" s="2"/>
    </row>
    <row r="42" spans="1:11" ht="15.75" customHeight="1" x14ac:dyDescent="0.2">
      <c r="A42" s="9" t="s">
        <v>196</v>
      </c>
      <c r="B42" s="9" t="s">
        <v>55</v>
      </c>
      <c r="C42" s="9">
        <v>44691</v>
      </c>
      <c r="D42" s="9">
        <v>330</v>
      </c>
      <c r="E42" s="10" t="str">
        <f t="shared" si="0"/>
        <v>email.com</v>
      </c>
      <c r="F42" s="10">
        <f t="shared" si="1"/>
        <v>330</v>
      </c>
      <c r="G42" s="10"/>
      <c r="H42" s="6"/>
      <c r="I42" s="10"/>
      <c r="J42" s="10"/>
      <c r="K42" s="2"/>
    </row>
    <row r="43" spans="1:11" ht="15.75" customHeight="1" x14ac:dyDescent="0.2">
      <c r="A43" s="9" t="s">
        <v>197</v>
      </c>
      <c r="B43" s="9" t="s">
        <v>56</v>
      </c>
      <c r="C43" s="9">
        <v>44706</v>
      </c>
      <c r="D43" s="9">
        <v>360</v>
      </c>
      <c r="E43" s="10" t="str">
        <f t="shared" si="0"/>
        <v>email.com</v>
      </c>
      <c r="F43" s="10">
        <f t="shared" si="1"/>
        <v>360</v>
      </c>
      <c r="G43" s="10"/>
      <c r="H43" s="6"/>
      <c r="I43" s="10"/>
      <c r="J43" s="10"/>
      <c r="K43" s="2"/>
    </row>
    <row r="44" spans="1:11" ht="15.75" customHeight="1" x14ac:dyDescent="0.2">
      <c r="A44" s="9" t="s">
        <v>198</v>
      </c>
      <c r="B44" s="9" t="s">
        <v>57</v>
      </c>
      <c r="C44" s="9">
        <v>44826</v>
      </c>
      <c r="D44" s="9">
        <v>475</v>
      </c>
      <c r="E44" s="10" t="str">
        <f t="shared" si="0"/>
        <v>email.com</v>
      </c>
      <c r="F44" s="10">
        <f t="shared" si="1"/>
        <v>475</v>
      </c>
      <c r="G44" s="10"/>
      <c r="H44" s="6"/>
      <c r="I44" s="10"/>
      <c r="J44" s="10"/>
      <c r="K44" s="2"/>
    </row>
    <row r="45" spans="1:11" ht="15.75" customHeight="1" x14ac:dyDescent="0.2">
      <c r="A45" s="9" t="s">
        <v>199</v>
      </c>
      <c r="B45" s="9" t="s">
        <v>58</v>
      </c>
      <c r="C45" s="9">
        <v>44721</v>
      </c>
      <c r="D45" s="9">
        <v>320</v>
      </c>
      <c r="E45" s="10" t="str">
        <f t="shared" si="0"/>
        <v>email.com</v>
      </c>
      <c r="F45" s="10">
        <f t="shared" si="1"/>
        <v>320</v>
      </c>
      <c r="G45" s="10"/>
      <c r="H45" s="6"/>
      <c r="I45" s="10"/>
      <c r="J45" s="10"/>
      <c r="K45" s="2"/>
    </row>
    <row r="46" spans="1:11" ht="15.75" customHeight="1" x14ac:dyDescent="0.2">
      <c r="A46" t="s">
        <v>68</v>
      </c>
      <c r="B46" s="9" t="s">
        <v>59</v>
      </c>
      <c r="C46" s="9">
        <v>44736</v>
      </c>
      <c r="D46" s="9">
        <v>460</v>
      </c>
      <c r="E46" s="10" t="str">
        <f t="shared" si="0"/>
        <v>email.com</v>
      </c>
      <c r="F46" s="10">
        <f t="shared" si="1"/>
        <v>460</v>
      </c>
      <c r="G46" s="10"/>
      <c r="H46" s="6"/>
      <c r="I46" s="10"/>
      <c r="J46" s="10"/>
      <c r="K46" s="2"/>
    </row>
    <row r="47" spans="1:11" ht="15.75" customHeight="1" x14ac:dyDescent="0.2">
      <c r="A47" s="9" t="s">
        <v>200</v>
      </c>
      <c r="B47" s="9" t="s">
        <v>60</v>
      </c>
      <c r="C47" s="9">
        <v>44751</v>
      </c>
      <c r="D47" s="9">
        <v>410</v>
      </c>
      <c r="E47" s="10" t="str">
        <f t="shared" si="0"/>
        <v>email.com</v>
      </c>
      <c r="F47" s="10">
        <f t="shared" si="1"/>
        <v>410</v>
      </c>
      <c r="G47" s="10"/>
      <c r="H47" s="6"/>
      <c r="I47" s="10"/>
      <c r="J47" s="10"/>
      <c r="K47" s="2"/>
    </row>
    <row r="48" spans="1:11" ht="15.75" customHeight="1" x14ac:dyDescent="0.2">
      <c r="A48" s="9" t="s">
        <v>201</v>
      </c>
      <c r="B48" s="9" t="s">
        <v>61</v>
      </c>
      <c r="C48" s="9">
        <v>44766</v>
      </c>
      <c r="D48" s="9">
        <v>350</v>
      </c>
      <c r="E48" s="10" t="str">
        <f t="shared" si="0"/>
        <v>email.com</v>
      </c>
      <c r="F48" s="10">
        <f t="shared" si="1"/>
        <v>350</v>
      </c>
      <c r="G48" s="10"/>
      <c r="H48" s="6"/>
      <c r="I48" s="10"/>
      <c r="J48" s="10"/>
      <c r="K48" s="2"/>
    </row>
    <row r="49" spans="1:11" ht="15.75" customHeight="1" x14ac:dyDescent="0.2">
      <c r="A49" s="9" t="s">
        <v>202</v>
      </c>
      <c r="B49" s="9" t="s">
        <v>62</v>
      </c>
      <c r="C49" s="9">
        <v>44781</v>
      </c>
      <c r="D49" s="9">
        <v>380</v>
      </c>
      <c r="E49" s="10" t="str">
        <f t="shared" si="0"/>
        <v>email.com</v>
      </c>
      <c r="F49" s="10">
        <f t="shared" si="1"/>
        <v>380</v>
      </c>
      <c r="G49" s="10"/>
      <c r="H49" s="6"/>
      <c r="I49" s="10"/>
      <c r="J49" s="10"/>
      <c r="K49" s="2"/>
    </row>
    <row r="50" spans="1:11" ht="15.75" customHeight="1" x14ac:dyDescent="0.2">
      <c r="A50" s="9" t="s">
        <v>203</v>
      </c>
      <c r="B50" s="9" t="s">
        <v>63</v>
      </c>
      <c r="C50" s="9">
        <v>44796</v>
      </c>
      <c r="D50" s="9" t="s">
        <v>21</v>
      </c>
      <c r="E50" s="10" t="str">
        <f t="shared" si="0"/>
        <v>email.com</v>
      </c>
      <c r="F50" s="10">
        <f t="shared" si="1"/>
        <v>0</v>
      </c>
      <c r="G50" s="10"/>
      <c r="H50" s="6"/>
      <c r="I50" s="10"/>
      <c r="J50" s="10"/>
      <c r="K50" s="2"/>
    </row>
    <row r="51" spans="1:11" ht="15.75" customHeight="1" x14ac:dyDescent="0.2">
      <c r="A51" s="9" t="s">
        <v>204</v>
      </c>
      <c r="B51" s="9" t="s">
        <v>64</v>
      </c>
      <c r="C51" s="9">
        <v>44811</v>
      </c>
      <c r="D51" s="9">
        <v>480</v>
      </c>
      <c r="E51" s="10" t="str">
        <f t="shared" si="0"/>
        <v>email.com</v>
      </c>
      <c r="F51" s="10">
        <f t="shared" si="1"/>
        <v>480</v>
      </c>
      <c r="G51" s="10"/>
      <c r="H51" s="6"/>
      <c r="I51" s="10"/>
      <c r="J51" s="10"/>
      <c r="K51" s="2"/>
    </row>
    <row r="52" spans="1:11" ht="15.75" customHeight="1" x14ac:dyDescent="0.2">
      <c r="A52" s="9" t="s">
        <v>198</v>
      </c>
      <c r="B52" s="9" t="s">
        <v>57</v>
      </c>
      <c r="C52" s="9">
        <v>44826</v>
      </c>
      <c r="D52" s="9">
        <v>430</v>
      </c>
      <c r="E52" s="10" t="str">
        <f t="shared" si="0"/>
        <v>email.com</v>
      </c>
      <c r="F52" s="10">
        <f t="shared" si="1"/>
        <v>430</v>
      </c>
      <c r="G52" s="10"/>
      <c r="H52" s="6"/>
      <c r="I52" s="10"/>
      <c r="J52" s="10"/>
      <c r="K52" s="2"/>
    </row>
    <row r="53" spans="1:11" ht="15.75" customHeight="1" x14ac:dyDescent="0.2">
      <c r="A53" s="9" t="s">
        <v>198</v>
      </c>
      <c r="B53" s="9" t="s">
        <v>57</v>
      </c>
      <c r="C53" s="9">
        <v>44826</v>
      </c>
      <c r="D53" s="9">
        <v>475</v>
      </c>
      <c r="E53" s="10" t="str">
        <f t="shared" si="0"/>
        <v>email.com</v>
      </c>
      <c r="F53" s="10">
        <f t="shared" si="1"/>
        <v>475</v>
      </c>
      <c r="G53" s="10"/>
      <c r="H53" s="10"/>
      <c r="I53" s="10"/>
      <c r="J53" s="10"/>
      <c r="K53" s="2"/>
    </row>
    <row r="54" spans="1:11" ht="15.75" customHeight="1" x14ac:dyDescent="0.2">
      <c r="E54" s="10"/>
      <c r="F54" s="10"/>
      <c r="G54" s="10"/>
      <c r="H54" s="10"/>
      <c r="I54" s="10"/>
      <c r="J54" s="10"/>
      <c r="K54" s="2"/>
    </row>
    <row r="55" spans="1:11" ht="15.75" customHeight="1" x14ac:dyDescent="0.2">
      <c r="E55" s="10"/>
      <c r="F55" s="10"/>
      <c r="G55" s="10"/>
      <c r="H55" s="10"/>
      <c r="I55" s="10"/>
      <c r="J55" s="10"/>
      <c r="K55" s="10"/>
    </row>
    <row r="56" spans="1:11" ht="15.75" customHeight="1" x14ac:dyDescent="0.2"/>
    <row r="57" spans="1:11" ht="15.75" customHeight="1" x14ac:dyDescent="0.2"/>
    <row r="58" spans="1:11" ht="15.75" customHeight="1" x14ac:dyDescent="0.2"/>
    <row r="59" spans="1:11" ht="15.75" customHeight="1" x14ac:dyDescent="0.2"/>
    <row r="60" spans="1:11" ht="15.75" customHeight="1" x14ac:dyDescent="0.2"/>
    <row r="61" spans="1:11" ht="15.75" customHeight="1" x14ac:dyDescent="0.2"/>
    <row r="62" spans="1:11" ht="15.75" customHeight="1" x14ac:dyDescent="0.2"/>
    <row r="63" spans="1:11" ht="15.75" customHeight="1" x14ac:dyDescent="0.2"/>
    <row r="64" spans="1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CodeAlong_Questions</vt:lpstr>
      <vt:lpstr>SalesRepData(CodeAlong)</vt:lpstr>
      <vt:lpstr>DataChallenge9_Questions</vt:lpstr>
      <vt:lpstr>SalesRepData(DataChallenge)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Serrano Lopez</cp:lastModifiedBy>
  <dcterms:created xsi:type="dcterms:W3CDTF">2025-04-24T20:41:01Z</dcterms:created>
  <dcterms:modified xsi:type="dcterms:W3CDTF">2025-06-16T15:54:37Z</dcterms:modified>
</cp:coreProperties>
</file>